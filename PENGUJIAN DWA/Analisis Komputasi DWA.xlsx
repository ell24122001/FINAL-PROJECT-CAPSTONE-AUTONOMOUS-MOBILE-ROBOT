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C2638994-FF3D-4291-9C5D-48D6FB797B7C}" xr6:coauthVersionLast="47" xr6:coauthVersionMax="47" xr10:uidLastSave="{00000000-0000-0000-0000-000000000000}"/>
  <bookViews>
    <workbookView xWindow="12096" yWindow="2244" windowWidth="10944" windowHeight="8880" xr2:uid="{991FDA05-AC74-45BD-AA8C-371B9C2F41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" l="1"/>
  <c r="C35" i="1"/>
  <c r="J28" i="1"/>
  <c r="D27" i="1"/>
  <c r="C27" i="1"/>
  <c r="D26" i="1"/>
  <c r="C26" i="1"/>
  <c r="K19" i="1"/>
  <c r="N19" i="1" s="1"/>
  <c r="Q19" i="1" s="1"/>
  <c r="T19" i="1" s="1"/>
  <c r="W19" i="1" s="1"/>
  <c r="Z19" i="1" s="1"/>
  <c r="AC19" i="1" s="1"/>
  <c r="AF19" i="1" s="1"/>
  <c r="AI19" i="1" s="1"/>
  <c r="AL19" i="1" s="1"/>
  <c r="AO19" i="1" s="1"/>
  <c r="AR19" i="1" s="1"/>
  <c r="AU19" i="1" s="1"/>
  <c r="AX19" i="1" s="1"/>
  <c r="BA19" i="1" s="1"/>
  <c r="BD19" i="1" s="1"/>
  <c r="BG19" i="1" s="1"/>
  <c r="BJ19" i="1" s="1"/>
  <c r="BM19" i="1" s="1"/>
  <c r="BP19" i="1" s="1"/>
  <c r="BS19" i="1" s="1"/>
  <c r="BV19" i="1" s="1"/>
  <c r="BY19" i="1" s="1"/>
  <c r="CB19" i="1" s="1"/>
  <c r="CE19" i="1" s="1"/>
  <c r="CH19" i="1" s="1"/>
  <c r="CK19" i="1" s="1"/>
  <c r="CN19" i="1" s="1"/>
  <c r="CQ19" i="1" s="1"/>
  <c r="CT19" i="1" s="1"/>
  <c r="CW19" i="1" s="1"/>
  <c r="J19" i="1"/>
  <c r="H19" i="1"/>
  <c r="K43" i="1" s="1"/>
  <c r="N43" i="1" s="1"/>
  <c r="Q43" i="1" s="1"/>
  <c r="T43" i="1" s="1"/>
  <c r="W43" i="1" s="1"/>
  <c r="Z43" i="1" s="1"/>
  <c r="AC43" i="1" s="1"/>
  <c r="AF43" i="1" s="1"/>
  <c r="AI43" i="1" s="1"/>
  <c r="AL43" i="1" s="1"/>
  <c r="AO43" i="1" s="1"/>
  <c r="AR43" i="1" s="1"/>
  <c r="AU43" i="1" s="1"/>
  <c r="AX43" i="1" s="1"/>
  <c r="BA43" i="1" s="1"/>
  <c r="BD43" i="1" s="1"/>
  <c r="BG43" i="1" s="1"/>
  <c r="BJ43" i="1" s="1"/>
  <c r="BM43" i="1" s="1"/>
  <c r="BP43" i="1" s="1"/>
  <c r="BS43" i="1" s="1"/>
  <c r="BV43" i="1" s="1"/>
  <c r="BY43" i="1" s="1"/>
  <c r="CB43" i="1" s="1"/>
  <c r="CE43" i="1" s="1"/>
  <c r="CH43" i="1" s="1"/>
  <c r="CK43" i="1" s="1"/>
  <c r="CN43" i="1" s="1"/>
  <c r="CQ43" i="1" s="1"/>
  <c r="CT43" i="1" s="1"/>
  <c r="CW43" i="1" s="1"/>
  <c r="G19" i="1"/>
  <c r="G14" i="1"/>
  <c r="G12" i="1"/>
  <c r="L28" i="1" l="1"/>
  <c r="EH28" i="1"/>
  <c r="M28" i="1"/>
  <c r="J22" i="1"/>
  <c r="J23" i="1"/>
  <c r="J30" i="1"/>
  <c r="J27" i="1"/>
  <c r="J24" i="1"/>
  <c r="J21" i="1"/>
  <c r="J25" i="1"/>
  <c r="G20" i="1"/>
  <c r="J26" i="1"/>
  <c r="J20" i="1"/>
  <c r="J29" i="1"/>
  <c r="L19" i="1"/>
  <c r="M19" i="1"/>
  <c r="P19" i="1" s="1"/>
  <c r="S19" i="1" s="1"/>
  <c r="V19" i="1" s="1"/>
  <c r="Y19" i="1" s="1"/>
  <c r="AB19" i="1" s="1"/>
  <c r="AE19" i="1" s="1"/>
  <c r="AH19" i="1" s="1"/>
  <c r="AK19" i="1" s="1"/>
  <c r="AN19" i="1" s="1"/>
  <c r="AQ19" i="1" s="1"/>
  <c r="AT19" i="1" s="1"/>
  <c r="AW19" i="1" s="1"/>
  <c r="AZ19" i="1" s="1"/>
  <c r="BC19" i="1" s="1"/>
  <c r="BF19" i="1" s="1"/>
  <c r="BI19" i="1" s="1"/>
  <c r="BL19" i="1" s="1"/>
  <c r="BO19" i="1" s="1"/>
  <c r="BR19" i="1" s="1"/>
  <c r="BU19" i="1" s="1"/>
  <c r="BX19" i="1" s="1"/>
  <c r="CA19" i="1" s="1"/>
  <c r="CD19" i="1" s="1"/>
  <c r="CG19" i="1" s="1"/>
  <c r="CJ19" i="1" s="1"/>
  <c r="CM19" i="1" s="1"/>
  <c r="CP19" i="1" s="1"/>
  <c r="CS19" i="1" s="1"/>
  <c r="CV19" i="1" s="1"/>
  <c r="EH19" i="1"/>
  <c r="K55" i="1"/>
  <c r="N55" i="1" s="1"/>
  <c r="Q55" i="1" s="1"/>
  <c r="T55" i="1" s="1"/>
  <c r="W55" i="1" s="1"/>
  <c r="Z55" i="1" s="1"/>
  <c r="AC55" i="1" s="1"/>
  <c r="AF55" i="1" s="1"/>
  <c r="AI55" i="1" s="1"/>
  <c r="AL55" i="1" s="1"/>
  <c r="AO55" i="1" s="1"/>
  <c r="AR55" i="1" s="1"/>
  <c r="AU55" i="1" s="1"/>
  <c r="AX55" i="1" s="1"/>
  <c r="BA55" i="1" s="1"/>
  <c r="BD55" i="1" s="1"/>
  <c r="BG55" i="1" s="1"/>
  <c r="BJ55" i="1" s="1"/>
  <c r="BM55" i="1" s="1"/>
  <c r="BP55" i="1" s="1"/>
  <c r="BS55" i="1" s="1"/>
  <c r="BV55" i="1" s="1"/>
  <c r="BY55" i="1" s="1"/>
  <c r="CB55" i="1" s="1"/>
  <c r="CE55" i="1" s="1"/>
  <c r="CH55" i="1" s="1"/>
  <c r="CK55" i="1" s="1"/>
  <c r="CN55" i="1" s="1"/>
  <c r="CQ55" i="1" s="1"/>
  <c r="CT55" i="1" s="1"/>
  <c r="CW55" i="1" s="1"/>
  <c r="K31" i="1"/>
  <c r="N31" i="1" s="1"/>
  <c r="Q31" i="1" s="1"/>
  <c r="T31" i="1" s="1"/>
  <c r="W31" i="1" s="1"/>
  <c r="Z31" i="1" s="1"/>
  <c r="AC31" i="1" s="1"/>
  <c r="AF31" i="1" s="1"/>
  <c r="AI31" i="1" s="1"/>
  <c r="AL31" i="1" s="1"/>
  <c r="AO31" i="1" s="1"/>
  <c r="AR31" i="1" s="1"/>
  <c r="AU31" i="1" s="1"/>
  <c r="AX31" i="1" s="1"/>
  <c r="BA31" i="1" s="1"/>
  <c r="BD31" i="1" s="1"/>
  <c r="BG31" i="1" s="1"/>
  <c r="BJ31" i="1" s="1"/>
  <c r="BM31" i="1" s="1"/>
  <c r="BP31" i="1" s="1"/>
  <c r="BS31" i="1" s="1"/>
  <c r="BV31" i="1" s="1"/>
  <c r="BY31" i="1" s="1"/>
  <c r="CB31" i="1" s="1"/>
  <c r="CE31" i="1" s="1"/>
  <c r="CH31" i="1" s="1"/>
  <c r="CK31" i="1" s="1"/>
  <c r="CN31" i="1" s="1"/>
  <c r="CQ31" i="1" s="1"/>
  <c r="CT31" i="1" s="1"/>
  <c r="CW31" i="1" s="1"/>
  <c r="H20" i="1"/>
  <c r="EH26" i="1" l="1"/>
  <c r="M26" i="1"/>
  <c r="L26" i="1"/>
  <c r="L21" i="1"/>
  <c r="EH21" i="1"/>
  <c r="M21" i="1"/>
  <c r="EH24" i="1"/>
  <c r="L24" i="1"/>
  <c r="M24" i="1"/>
  <c r="EH30" i="1"/>
  <c r="M30" i="1"/>
  <c r="L30" i="1"/>
  <c r="M23" i="1"/>
  <c r="L23" i="1"/>
  <c r="EH23" i="1"/>
  <c r="L25" i="1"/>
  <c r="M25" i="1"/>
  <c r="EH25" i="1"/>
  <c r="M22" i="1"/>
  <c r="L22" i="1"/>
  <c r="EH22" i="1"/>
  <c r="J39" i="1"/>
  <c r="J36" i="1"/>
  <c r="J40" i="1"/>
  <c r="J37" i="1"/>
  <c r="J41" i="1"/>
  <c r="J38" i="1"/>
  <c r="G21" i="1"/>
  <c r="J35" i="1"/>
  <c r="J42" i="1"/>
  <c r="J34" i="1"/>
  <c r="J32" i="1"/>
  <c r="J33" i="1"/>
  <c r="J31" i="1"/>
  <c r="K56" i="1"/>
  <c r="N56" i="1" s="1"/>
  <c r="Q56" i="1" s="1"/>
  <c r="T56" i="1" s="1"/>
  <c r="W56" i="1" s="1"/>
  <c r="Z56" i="1" s="1"/>
  <c r="AC56" i="1" s="1"/>
  <c r="AF56" i="1" s="1"/>
  <c r="AI56" i="1" s="1"/>
  <c r="AL56" i="1" s="1"/>
  <c r="AO56" i="1" s="1"/>
  <c r="AR56" i="1" s="1"/>
  <c r="AU56" i="1" s="1"/>
  <c r="AX56" i="1" s="1"/>
  <c r="BA56" i="1" s="1"/>
  <c r="BD56" i="1" s="1"/>
  <c r="BG56" i="1" s="1"/>
  <c r="BJ56" i="1" s="1"/>
  <c r="BM56" i="1" s="1"/>
  <c r="BP56" i="1" s="1"/>
  <c r="BS56" i="1" s="1"/>
  <c r="BV56" i="1" s="1"/>
  <c r="BY56" i="1" s="1"/>
  <c r="CB56" i="1" s="1"/>
  <c r="CE56" i="1" s="1"/>
  <c r="CH56" i="1" s="1"/>
  <c r="CK56" i="1" s="1"/>
  <c r="CN56" i="1" s="1"/>
  <c r="CQ56" i="1" s="1"/>
  <c r="CT56" i="1" s="1"/>
  <c r="CW56" i="1" s="1"/>
  <c r="K44" i="1"/>
  <c r="N44" i="1" s="1"/>
  <c r="Q44" i="1" s="1"/>
  <c r="T44" i="1" s="1"/>
  <c r="W44" i="1" s="1"/>
  <c r="Z44" i="1" s="1"/>
  <c r="AC44" i="1" s="1"/>
  <c r="AF44" i="1" s="1"/>
  <c r="AI44" i="1" s="1"/>
  <c r="AL44" i="1" s="1"/>
  <c r="AO44" i="1" s="1"/>
  <c r="AR44" i="1" s="1"/>
  <c r="AU44" i="1" s="1"/>
  <c r="AX44" i="1" s="1"/>
  <c r="BA44" i="1" s="1"/>
  <c r="BD44" i="1" s="1"/>
  <c r="BG44" i="1" s="1"/>
  <c r="BJ44" i="1" s="1"/>
  <c r="BM44" i="1" s="1"/>
  <c r="BP44" i="1" s="1"/>
  <c r="BS44" i="1" s="1"/>
  <c r="BV44" i="1" s="1"/>
  <c r="BY44" i="1" s="1"/>
  <c r="CB44" i="1" s="1"/>
  <c r="CE44" i="1" s="1"/>
  <c r="CH44" i="1" s="1"/>
  <c r="CK44" i="1" s="1"/>
  <c r="CN44" i="1" s="1"/>
  <c r="CQ44" i="1" s="1"/>
  <c r="CT44" i="1" s="1"/>
  <c r="CW44" i="1" s="1"/>
  <c r="K32" i="1"/>
  <c r="N32" i="1" s="1"/>
  <c r="Q32" i="1" s="1"/>
  <c r="T32" i="1" s="1"/>
  <c r="W32" i="1" s="1"/>
  <c r="Z32" i="1" s="1"/>
  <c r="AC32" i="1" s="1"/>
  <c r="AF32" i="1" s="1"/>
  <c r="AI32" i="1" s="1"/>
  <c r="AL32" i="1" s="1"/>
  <c r="AO32" i="1" s="1"/>
  <c r="AR32" i="1" s="1"/>
  <c r="AU32" i="1" s="1"/>
  <c r="AX32" i="1" s="1"/>
  <c r="BA32" i="1" s="1"/>
  <c r="BD32" i="1" s="1"/>
  <c r="BG32" i="1" s="1"/>
  <c r="BJ32" i="1" s="1"/>
  <c r="BM32" i="1" s="1"/>
  <c r="BP32" i="1" s="1"/>
  <c r="BS32" i="1" s="1"/>
  <c r="BV32" i="1" s="1"/>
  <c r="BY32" i="1" s="1"/>
  <c r="CB32" i="1" s="1"/>
  <c r="CE32" i="1" s="1"/>
  <c r="CH32" i="1" s="1"/>
  <c r="CK32" i="1" s="1"/>
  <c r="CN32" i="1" s="1"/>
  <c r="CQ32" i="1" s="1"/>
  <c r="CT32" i="1" s="1"/>
  <c r="CW32" i="1" s="1"/>
  <c r="K20" i="1"/>
  <c r="N20" i="1" s="1"/>
  <c r="Q20" i="1" s="1"/>
  <c r="T20" i="1" s="1"/>
  <c r="W20" i="1" s="1"/>
  <c r="Z20" i="1" s="1"/>
  <c r="AC20" i="1" s="1"/>
  <c r="AF20" i="1" s="1"/>
  <c r="AI20" i="1" s="1"/>
  <c r="AL20" i="1" s="1"/>
  <c r="AO20" i="1" s="1"/>
  <c r="AR20" i="1" s="1"/>
  <c r="AU20" i="1" s="1"/>
  <c r="AX20" i="1" s="1"/>
  <c r="BA20" i="1" s="1"/>
  <c r="BD20" i="1" s="1"/>
  <c r="BG20" i="1" s="1"/>
  <c r="BJ20" i="1" s="1"/>
  <c r="BM20" i="1" s="1"/>
  <c r="BP20" i="1" s="1"/>
  <c r="BS20" i="1" s="1"/>
  <c r="BV20" i="1" s="1"/>
  <c r="BY20" i="1" s="1"/>
  <c r="CB20" i="1" s="1"/>
  <c r="CE20" i="1" s="1"/>
  <c r="CH20" i="1" s="1"/>
  <c r="CK20" i="1" s="1"/>
  <c r="CN20" i="1" s="1"/>
  <c r="CQ20" i="1" s="1"/>
  <c r="CT20" i="1" s="1"/>
  <c r="CW20" i="1" s="1"/>
  <c r="H21" i="1"/>
  <c r="EH27" i="1"/>
  <c r="M27" i="1"/>
  <c r="L27" i="1"/>
  <c r="CY19" i="1"/>
  <c r="O19" i="1"/>
  <c r="L29" i="1"/>
  <c r="EH29" i="1"/>
  <c r="M29" i="1"/>
  <c r="M20" i="1"/>
  <c r="EH20" i="1"/>
  <c r="L20" i="1"/>
  <c r="CY28" i="1"/>
  <c r="CY29" i="1" l="1"/>
  <c r="EH32" i="1"/>
  <c r="M32" i="1"/>
  <c r="P32" i="1" s="1"/>
  <c r="S32" i="1" s="1"/>
  <c r="V32" i="1" s="1"/>
  <c r="Y32" i="1" s="1"/>
  <c r="AB32" i="1" s="1"/>
  <c r="AE32" i="1" s="1"/>
  <c r="AH32" i="1" s="1"/>
  <c r="AK32" i="1" s="1"/>
  <c r="AN32" i="1" s="1"/>
  <c r="AQ32" i="1" s="1"/>
  <c r="AT32" i="1" s="1"/>
  <c r="AW32" i="1" s="1"/>
  <c r="AZ32" i="1" s="1"/>
  <c r="BC32" i="1" s="1"/>
  <c r="BF32" i="1" s="1"/>
  <c r="BI32" i="1" s="1"/>
  <c r="BL32" i="1" s="1"/>
  <c r="BO32" i="1" s="1"/>
  <c r="BR32" i="1" s="1"/>
  <c r="BU32" i="1" s="1"/>
  <c r="BX32" i="1" s="1"/>
  <c r="CA32" i="1" s="1"/>
  <c r="CD32" i="1" s="1"/>
  <c r="CG32" i="1" s="1"/>
  <c r="CJ32" i="1" s="1"/>
  <c r="CM32" i="1" s="1"/>
  <c r="CP32" i="1" s="1"/>
  <c r="CS32" i="1" s="1"/>
  <c r="CV32" i="1" s="1"/>
  <c r="L32" i="1"/>
  <c r="CY24" i="1"/>
  <c r="L34" i="1"/>
  <c r="EH34" i="1"/>
  <c r="M34" i="1"/>
  <c r="L42" i="1"/>
  <c r="M42" i="1"/>
  <c r="EH42" i="1"/>
  <c r="P21" i="1"/>
  <c r="S21" i="1" s="1"/>
  <c r="V21" i="1" s="1"/>
  <c r="Y21" i="1" s="1"/>
  <c r="AB21" i="1" s="1"/>
  <c r="AE21" i="1" s="1"/>
  <c r="AH21" i="1" s="1"/>
  <c r="AK21" i="1" s="1"/>
  <c r="AN21" i="1" s="1"/>
  <c r="AQ21" i="1" s="1"/>
  <c r="AT21" i="1" s="1"/>
  <c r="AW21" i="1" s="1"/>
  <c r="AZ21" i="1" s="1"/>
  <c r="BC21" i="1" s="1"/>
  <c r="BF21" i="1" s="1"/>
  <c r="BI21" i="1" s="1"/>
  <c r="BL21" i="1" s="1"/>
  <c r="BO21" i="1" s="1"/>
  <c r="BR21" i="1" s="1"/>
  <c r="BU21" i="1" s="1"/>
  <c r="BX21" i="1" s="1"/>
  <c r="CA21" i="1" s="1"/>
  <c r="CD21" i="1" s="1"/>
  <c r="CG21" i="1" s="1"/>
  <c r="CJ21" i="1" s="1"/>
  <c r="CM21" i="1" s="1"/>
  <c r="CP21" i="1" s="1"/>
  <c r="CS21" i="1" s="1"/>
  <c r="CV21" i="1" s="1"/>
  <c r="L35" i="1"/>
  <c r="M35" i="1"/>
  <c r="EH35" i="1"/>
  <c r="EH40" i="1"/>
  <c r="M40" i="1"/>
  <c r="L40" i="1"/>
  <c r="L39" i="1"/>
  <c r="M39" i="1"/>
  <c r="EH39" i="1"/>
  <c r="M33" i="1"/>
  <c r="P33" i="1" s="1"/>
  <c r="S33" i="1" s="1"/>
  <c r="V33" i="1" s="1"/>
  <c r="Y33" i="1" s="1"/>
  <c r="AB33" i="1" s="1"/>
  <c r="AE33" i="1" s="1"/>
  <c r="AH33" i="1" s="1"/>
  <c r="AK33" i="1" s="1"/>
  <c r="AN33" i="1" s="1"/>
  <c r="AQ33" i="1" s="1"/>
  <c r="AT33" i="1" s="1"/>
  <c r="AW33" i="1" s="1"/>
  <c r="AZ33" i="1" s="1"/>
  <c r="BC33" i="1" s="1"/>
  <c r="BF33" i="1" s="1"/>
  <c r="BI33" i="1" s="1"/>
  <c r="BL33" i="1" s="1"/>
  <c r="BO33" i="1" s="1"/>
  <c r="BR33" i="1" s="1"/>
  <c r="BU33" i="1" s="1"/>
  <c r="BX33" i="1" s="1"/>
  <c r="CA33" i="1" s="1"/>
  <c r="CD33" i="1" s="1"/>
  <c r="CG33" i="1" s="1"/>
  <c r="CJ33" i="1" s="1"/>
  <c r="CM33" i="1" s="1"/>
  <c r="CP33" i="1" s="1"/>
  <c r="CS33" i="1" s="1"/>
  <c r="CV33" i="1" s="1"/>
  <c r="L33" i="1"/>
  <c r="EH33" i="1"/>
  <c r="CZ19" i="1"/>
  <c r="R19" i="1"/>
  <c r="CY22" i="1"/>
  <c r="CY27" i="1"/>
  <c r="J53" i="1"/>
  <c r="J45" i="1"/>
  <c r="J52" i="1"/>
  <c r="J54" i="1"/>
  <c r="J51" i="1"/>
  <c r="J47" i="1"/>
  <c r="J43" i="1"/>
  <c r="J46" i="1"/>
  <c r="J49" i="1"/>
  <c r="J44" i="1"/>
  <c r="J50" i="1"/>
  <c r="G22" i="1"/>
  <c r="J48" i="1"/>
  <c r="CY25" i="1"/>
  <c r="CY21" i="1"/>
  <c r="O21" i="1"/>
  <c r="CY30" i="1"/>
  <c r="L36" i="1"/>
  <c r="M36" i="1"/>
  <c r="EH36" i="1"/>
  <c r="M31" i="1"/>
  <c r="P31" i="1" s="1"/>
  <c r="S31" i="1" s="1"/>
  <c r="V31" i="1" s="1"/>
  <c r="Y31" i="1" s="1"/>
  <c r="AB31" i="1" s="1"/>
  <c r="AE31" i="1" s="1"/>
  <c r="AH31" i="1" s="1"/>
  <c r="AK31" i="1" s="1"/>
  <c r="AN31" i="1" s="1"/>
  <c r="AQ31" i="1" s="1"/>
  <c r="AT31" i="1" s="1"/>
  <c r="AW31" i="1" s="1"/>
  <c r="AZ31" i="1" s="1"/>
  <c r="BC31" i="1" s="1"/>
  <c r="BF31" i="1" s="1"/>
  <c r="BI31" i="1" s="1"/>
  <c r="BL31" i="1" s="1"/>
  <c r="BO31" i="1" s="1"/>
  <c r="BR31" i="1" s="1"/>
  <c r="BU31" i="1" s="1"/>
  <c r="BX31" i="1" s="1"/>
  <c r="CA31" i="1" s="1"/>
  <c r="CD31" i="1" s="1"/>
  <c r="CG31" i="1" s="1"/>
  <c r="CJ31" i="1" s="1"/>
  <c r="CM31" i="1" s="1"/>
  <c r="CP31" i="1" s="1"/>
  <c r="CS31" i="1" s="1"/>
  <c r="CV31" i="1" s="1"/>
  <c r="L31" i="1"/>
  <c r="EH31" i="1"/>
  <c r="CY20" i="1"/>
  <c r="O20" i="1"/>
  <c r="K57" i="1"/>
  <c r="N57" i="1" s="1"/>
  <c r="Q57" i="1" s="1"/>
  <c r="T57" i="1" s="1"/>
  <c r="W57" i="1" s="1"/>
  <c r="Z57" i="1" s="1"/>
  <c r="AC57" i="1" s="1"/>
  <c r="AF57" i="1" s="1"/>
  <c r="AI57" i="1" s="1"/>
  <c r="AL57" i="1" s="1"/>
  <c r="AO57" i="1" s="1"/>
  <c r="AR57" i="1" s="1"/>
  <c r="AU57" i="1" s="1"/>
  <c r="AX57" i="1" s="1"/>
  <c r="BA57" i="1" s="1"/>
  <c r="BD57" i="1" s="1"/>
  <c r="BG57" i="1" s="1"/>
  <c r="BJ57" i="1" s="1"/>
  <c r="BM57" i="1" s="1"/>
  <c r="BP57" i="1" s="1"/>
  <c r="BS57" i="1" s="1"/>
  <c r="BV57" i="1" s="1"/>
  <c r="BY57" i="1" s="1"/>
  <c r="CB57" i="1" s="1"/>
  <c r="CE57" i="1" s="1"/>
  <c r="CH57" i="1" s="1"/>
  <c r="CK57" i="1" s="1"/>
  <c r="CN57" i="1" s="1"/>
  <c r="CQ57" i="1" s="1"/>
  <c r="CT57" i="1" s="1"/>
  <c r="CW57" i="1" s="1"/>
  <c r="K45" i="1"/>
  <c r="N45" i="1" s="1"/>
  <c r="Q45" i="1" s="1"/>
  <c r="T45" i="1" s="1"/>
  <c r="W45" i="1" s="1"/>
  <c r="Z45" i="1" s="1"/>
  <c r="AC45" i="1" s="1"/>
  <c r="AF45" i="1" s="1"/>
  <c r="AI45" i="1" s="1"/>
  <c r="AL45" i="1" s="1"/>
  <c r="AO45" i="1" s="1"/>
  <c r="AR45" i="1" s="1"/>
  <c r="AU45" i="1" s="1"/>
  <c r="AX45" i="1" s="1"/>
  <c r="BA45" i="1" s="1"/>
  <c r="BD45" i="1" s="1"/>
  <c r="BG45" i="1" s="1"/>
  <c r="BJ45" i="1" s="1"/>
  <c r="BM45" i="1" s="1"/>
  <c r="BP45" i="1" s="1"/>
  <c r="BS45" i="1" s="1"/>
  <c r="BV45" i="1" s="1"/>
  <c r="BY45" i="1" s="1"/>
  <c r="CB45" i="1" s="1"/>
  <c r="CE45" i="1" s="1"/>
  <c r="CH45" i="1" s="1"/>
  <c r="CK45" i="1" s="1"/>
  <c r="CN45" i="1" s="1"/>
  <c r="CQ45" i="1" s="1"/>
  <c r="CT45" i="1" s="1"/>
  <c r="CW45" i="1" s="1"/>
  <c r="H22" i="1"/>
  <c r="K21" i="1"/>
  <c r="N21" i="1" s="1"/>
  <c r="Q21" i="1" s="1"/>
  <c r="T21" i="1" s="1"/>
  <c r="W21" i="1" s="1"/>
  <c r="Z21" i="1" s="1"/>
  <c r="AC21" i="1" s="1"/>
  <c r="AF21" i="1" s="1"/>
  <c r="AI21" i="1" s="1"/>
  <c r="AL21" i="1" s="1"/>
  <c r="AO21" i="1" s="1"/>
  <c r="AR21" i="1" s="1"/>
  <c r="AU21" i="1" s="1"/>
  <c r="AX21" i="1" s="1"/>
  <c r="BA21" i="1" s="1"/>
  <c r="BD21" i="1" s="1"/>
  <c r="BG21" i="1" s="1"/>
  <c r="BJ21" i="1" s="1"/>
  <c r="BM21" i="1" s="1"/>
  <c r="BP21" i="1" s="1"/>
  <c r="BS21" i="1" s="1"/>
  <c r="BV21" i="1" s="1"/>
  <c r="BY21" i="1" s="1"/>
  <c r="CB21" i="1" s="1"/>
  <c r="CE21" i="1" s="1"/>
  <c r="CH21" i="1" s="1"/>
  <c r="CK21" i="1" s="1"/>
  <c r="CN21" i="1" s="1"/>
  <c r="CQ21" i="1" s="1"/>
  <c r="CT21" i="1" s="1"/>
  <c r="CW21" i="1" s="1"/>
  <c r="K33" i="1"/>
  <c r="N33" i="1" s="1"/>
  <c r="Q33" i="1" s="1"/>
  <c r="T33" i="1" s="1"/>
  <c r="W33" i="1" s="1"/>
  <c r="Z33" i="1" s="1"/>
  <c r="AC33" i="1" s="1"/>
  <c r="AF33" i="1" s="1"/>
  <c r="AI33" i="1" s="1"/>
  <c r="AL33" i="1" s="1"/>
  <c r="AO33" i="1" s="1"/>
  <c r="AR33" i="1" s="1"/>
  <c r="AU33" i="1" s="1"/>
  <c r="AX33" i="1" s="1"/>
  <c r="BA33" i="1" s="1"/>
  <c r="BD33" i="1" s="1"/>
  <c r="BG33" i="1" s="1"/>
  <c r="BJ33" i="1" s="1"/>
  <c r="BM33" i="1" s="1"/>
  <c r="BP33" i="1" s="1"/>
  <c r="BS33" i="1" s="1"/>
  <c r="BV33" i="1" s="1"/>
  <c r="BY33" i="1" s="1"/>
  <c r="CB33" i="1" s="1"/>
  <c r="CE33" i="1" s="1"/>
  <c r="CH33" i="1" s="1"/>
  <c r="CK33" i="1" s="1"/>
  <c r="CN33" i="1" s="1"/>
  <c r="CQ33" i="1" s="1"/>
  <c r="CT33" i="1" s="1"/>
  <c r="CW33" i="1" s="1"/>
  <c r="L38" i="1"/>
  <c r="EH38" i="1"/>
  <c r="M38" i="1"/>
  <c r="CY26" i="1"/>
  <c r="L41" i="1"/>
  <c r="EH41" i="1"/>
  <c r="M41" i="1"/>
  <c r="CY23" i="1"/>
  <c r="P20" i="1"/>
  <c r="S20" i="1" s="1"/>
  <c r="V20" i="1" s="1"/>
  <c r="Y20" i="1" s="1"/>
  <c r="AB20" i="1" s="1"/>
  <c r="AE20" i="1" s="1"/>
  <c r="AH20" i="1" s="1"/>
  <c r="AK20" i="1" s="1"/>
  <c r="AN20" i="1" s="1"/>
  <c r="AQ20" i="1" s="1"/>
  <c r="AT20" i="1" s="1"/>
  <c r="AW20" i="1" s="1"/>
  <c r="AZ20" i="1" s="1"/>
  <c r="BC20" i="1" s="1"/>
  <c r="BF20" i="1" s="1"/>
  <c r="BI20" i="1" s="1"/>
  <c r="BL20" i="1" s="1"/>
  <c r="BO20" i="1" s="1"/>
  <c r="BR20" i="1" s="1"/>
  <c r="BU20" i="1" s="1"/>
  <c r="BX20" i="1" s="1"/>
  <c r="CA20" i="1" s="1"/>
  <c r="CD20" i="1" s="1"/>
  <c r="CG20" i="1" s="1"/>
  <c r="CJ20" i="1" s="1"/>
  <c r="CM20" i="1" s="1"/>
  <c r="CP20" i="1" s="1"/>
  <c r="CS20" i="1" s="1"/>
  <c r="CV20" i="1" s="1"/>
  <c r="EH37" i="1"/>
  <c r="M37" i="1"/>
  <c r="L37" i="1"/>
  <c r="EH47" i="1" l="1"/>
  <c r="L47" i="1"/>
  <c r="M47" i="1"/>
  <c r="U19" i="1"/>
  <c r="DA19" i="1"/>
  <c r="M52" i="1"/>
  <c r="L52" i="1"/>
  <c r="EH52" i="1"/>
  <c r="L45" i="1"/>
  <c r="M45" i="1"/>
  <c r="P45" i="1" s="1"/>
  <c r="S45" i="1" s="1"/>
  <c r="V45" i="1" s="1"/>
  <c r="Y45" i="1" s="1"/>
  <c r="AB45" i="1" s="1"/>
  <c r="AE45" i="1" s="1"/>
  <c r="AH45" i="1" s="1"/>
  <c r="AK45" i="1" s="1"/>
  <c r="AN45" i="1" s="1"/>
  <c r="AQ45" i="1" s="1"/>
  <c r="AT45" i="1" s="1"/>
  <c r="AW45" i="1" s="1"/>
  <c r="AZ45" i="1" s="1"/>
  <c r="BC45" i="1" s="1"/>
  <c r="BF45" i="1" s="1"/>
  <c r="BI45" i="1" s="1"/>
  <c r="BL45" i="1" s="1"/>
  <c r="BO45" i="1" s="1"/>
  <c r="BR45" i="1" s="1"/>
  <c r="BU45" i="1" s="1"/>
  <c r="BX45" i="1" s="1"/>
  <c r="CA45" i="1" s="1"/>
  <c r="CD45" i="1" s="1"/>
  <c r="CG45" i="1" s="1"/>
  <c r="CJ45" i="1" s="1"/>
  <c r="CM45" i="1" s="1"/>
  <c r="CP45" i="1" s="1"/>
  <c r="CS45" i="1" s="1"/>
  <c r="CV45" i="1" s="1"/>
  <c r="EH45" i="1"/>
  <c r="CY31" i="1"/>
  <c r="O31" i="1"/>
  <c r="CY33" i="1"/>
  <c r="O33" i="1"/>
  <c r="CY37" i="1"/>
  <c r="EH50" i="1"/>
  <c r="M50" i="1"/>
  <c r="L50" i="1"/>
  <c r="CY35" i="1"/>
  <c r="O32" i="1"/>
  <c r="CY32" i="1"/>
  <c r="K58" i="1"/>
  <c r="N58" i="1" s="1"/>
  <c r="Q58" i="1" s="1"/>
  <c r="T58" i="1" s="1"/>
  <c r="W58" i="1" s="1"/>
  <c r="Z58" i="1" s="1"/>
  <c r="AC58" i="1" s="1"/>
  <c r="AF58" i="1" s="1"/>
  <c r="AI58" i="1" s="1"/>
  <c r="AL58" i="1" s="1"/>
  <c r="AO58" i="1" s="1"/>
  <c r="AR58" i="1" s="1"/>
  <c r="AU58" i="1" s="1"/>
  <c r="AX58" i="1" s="1"/>
  <c r="BA58" i="1" s="1"/>
  <c r="BD58" i="1" s="1"/>
  <c r="BG58" i="1" s="1"/>
  <c r="BJ58" i="1" s="1"/>
  <c r="BM58" i="1" s="1"/>
  <c r="BP58" i="1" s="1"/>
  <c r="BS58" i="1" s="1"/>
  <c r="BV58" i="1" s="1"/>
  <c r="BY58" i="1" s="1"/>
  <c r="CB58" i="1" s="1"/>
  <c r="CE58" i="1" s="1"/>
  <c r="CH58" i="1" s="1"/>
  <c r="CK58" i="1" s="1"/>
  <c r="CN58" i="1" s="1"/>
  <c r="CQ58" i="1" s="1"/>
  <c r="CT58" i="1" s="1"/>
  <c r="CW58" i="1" s="1"/>
  <c r="K46" i="1"/>
  <c r="N46" i="1" s="1"/>
  <c r="Q46" i="1" s="1"/>
  <c r="T46" i="1" s="1"/>
  <c r="W46" i="1" s="1"/>
  <c r="Z46" i="1" s="1"/>
  <c r="AC46" i="1" s="1"/>
  <c r="AF46" i="1" s="1"/>
  <c r="AI46" i="1" s="1"/>
  <c r="AL46" i="1" s="1"/>
  <c r="AO46" i="1" s="1"/>
  <c r="AR46" i="1" s="1"/>
  <c r="AU46" i="1" s="1"/>
  <c r="AX46" i="1" s="1"/>
  <c r="BA46" i="1" s="1"/>
  <c r="BD46" i="1" s="1"/>
  <c r="BG46" i="1" s="1"/>
  <c r="BJ46" i="1" s="1"/>
  <c r="BM46" i="1" s="1"/>
  <c r="BP46" i="1" s="1"/>
  <c r="BS46" i="1" s="1"/>
  <c r="BV46" i="1" s="1"/>
  <c r="BY46" i="1" s="1"/>
  <c r="CB46" i="1" s="1"/>
  <c r="CE46" i="1" s="1"/>
  <c r="CH46" i="1" s="1"/>
  <c r="CK46" i="1" s="1"/>
  <c r="CN46" i="1" s="1"/>
  <c r="CQ46" i="1" s="1"/>
  <c r="CT46" i="1" s="1"/>
  <c r="CW46" i="1" s="1"/>
  <c r="K34" i="1"/>
  <c r="N34" i="1" s="1"/>
  <c r="Q34" i="1" s="1"/>
  <c r="T34" i="1" s="1"/>
  <c r="W34" i="1" s="1"/>
  <c r="Z34" i="1" s="1"/>
  <c r="AC34" i="1" s="1"/>
  <c r="AF34" i="1" s="1"/>
  <c r="AI34" i="1" s="1"/>
  <c r="AL34" i="1" s="1"/>
  <c r="AO34" i="1" s="1"/>
  <c r="AR34" i="1" s="1"/>
  <c r="AU34" i="1" s="1"/>
  <c r="AX34" i="1" s="1"/>
  <c r="BA34" i="1" s="1"/>
  <c r="BD34" i="1" s="1"/>
  <c r="BG34" i="1" s="1"/>
  <c r="BJ34" i="1" s="1"/>
  <c r="BM34" i="1" s="1"/>
  <c r="BP34" i="1" s="1"/>
  <c r="BS34" i="1" s="1"/>
  <c r="BV34" i="1" s="1"/>
  <c r="BY34" i="1" s="1"/>
  <c r="CB34" i="1" s="1"/>
  <c r="CE34" i="1" s="1"/>
  <c r="CH34" i="1" s="1"/>
  <c r="CK34" i="1" s="1"/>
  <c r="CN34" i="1" s="1"/>
  <c r="CQ34" i="1" s="1"/>
  <c r="CT34" i="1" s="1"/>
  <c r="CW34" i="1" s="1"/>
  <c r="K22" i="1"/>
  <c r="N22" i="1" s="1"/>
  <c r="H23" i="1"/>
  <c r="CY42" i="1"/>
  <c r="L54" i="1"/>
  <c r="M54" i="1"/>
  <c r="EH54" i="1"/>
  <c r="EH44" i="1"/>
  <c r="L44" i="1"/>
  <c r="M44" i="1"/>
  <c r="P44" i="1" s="1"/>
  <c r="S44" i="1" s="1"/>
  <c r="V44" i="1" s="1"/>
  <c r="Y44" i="1" s="1"/>
  <c r="AB44" i="1" s="1"/>
  <c r="AE44" i="1" s="1"/>
  <c r="AH44" i="1" s="1"/>
  <c r="AK44" i="1" s="1"/>
  <c r="AN44" i="1" s="1"/>
  <c r="AQ44" i="1" s="1"/>
  <c r="AT44" i="1" s="1"/>
  <c r="AW44" i="1" s="1"/>
  <c r="AZ44" i="1" s="1"/>
  <c r="BC44" i="1" s="1"/>
  <c r="BF44" i="1" s="1"/>
  <c r="BI44" i="1" s="1"/>
  <c r="BL44" i="1" s="1"/>
  <c r="BO44" i="1" s="1"/>
  <c r="BR44" i="1" s="1"/>
  <c r="BU44" i="1" s="1"/>
  <c r="BX44" i="1" s="1"/>
  <c r="CA44" i="1" s="1"/>
  <c r="CD44" i="1" s="1"/>
  <c r="CG44" i="1" s="1"/>
  <c r="CJ44" i="1" s="1"/>
  <c r="CM44" i="1" s="1"/>
  <c r="CP44" i="1" s="1"/>
  <c r="CS44" i="1" s="1"/>
  <c r="CV44" i="1" s="1"/>
  <c r="P34" i="1"/>
  <c r="S34" i="1" s="1"/>
  <c r="V34" i="1" s="1"/>
  <c r="Y34" i="1" s="1"/>
  <c r="AB34" i="1" s="1"/>
  <c r="AE34" i="1" s="1"/>
  <c r="AH34" i="1" s="1"/>
  <c r="AK34" i="1" s="1"/>
  <c r="AN34" i="1" s="1"/>
  <c r="AQ34" i="1" s="1"/>
  <c r="AT34" i="1" s="1"/>
  <c r="AW34" i="1" s="1"/>
  <c r="AZ34" i="1" s="1"/>
  <c r="BC34" i="1" s="1"/>
  <c r="BF34" i="1" s="1"/>
  <c r="BI34" i="1" s="1"/>
  <c r="BL34" i="1" s="1"/>
  <c r="BO34" i="1" s="1"/>
  <c r="BR34" i="1" s="1"/>
  <c r="BU34" i="1" s="1"/>
  <c r="BX34" i="1" s="1"/>
  <c r="CA34" i="1" s="1"/>
  <c r="CD34" i="1" s="1"/>
  <c r="CG34" i="1" s="1"/>
  <c r="CJ34" i="1" s="1"/>
  <c r="CM34" i="1" s="1"/>
  <c r="CP34" i="1" s="1"/>
  <c r="CS34" i="1" s="1"/>
  <c r="CV34" i="1" s="1"/>
  <c r="CY41" i="1"/>
  <c r="CY38" i="1"/>
  <c r="EH49" i="1"/>
  <c r="M49" i="1"/>
  <c r="L49" i="1"/>
  <c r="R20" i="1"/>
  <c r="CZ20" i="1"/>
  <c r="L48" i="1"/>
  <c r="M48" i="1"/>
  <c r="EH48" i="1"/>
  <c r="CY36" i="1"/>
  <c r="EH46" i="1"/>
  <c r="M46" i="1"/>
  <c r="L46" i="1"/>
  <c r="CY39" i="1"/>
  <c r="CY40" i="1"/>
  <c r="CZ21" i="1"/>
  <c r="R21" i="1"/>
  <c r="L51" i="1"/>
  <c r="M51" i="1"/>
  <c r="EH51" i="1"/>
  <c r="CY34" i="1"/>
  <c r="O34" i="1"/>
  <c r="M53" i="1"/>
  <c r="EH53" i="1"/>
  <c r="L53" i="1"/>
  <c r="J65" i="1"/>
  <c r="J62" i="1"/>
  <c r="J64" i="1"/>
  <c r="J60" i="1"/>
  <c r="J59" i="1"/>
  <c r="J55" i="1"/>
  <c r="J58" i="1"/>
  <c r="J63" i="1"/>
  <c r="J56" i="1"/>
  <c r="J57" i="1"/>
  <c r="J61" i="1"/>
  <c r="J66" i="1"/>
  <c r="EH43" i="1"/>
  <c r="L43" i="1"/>
  <c r="M43" i="1"/>
  <c r="P43" i="1" s="1"/>
  <c r="S43" i="1" s="1"/>
  <c r="V43" i="1" s="1"/>
  <c r="Y43" i="1" s="1"/>
  <c r="AB43" i="1" s="1"/>
  <c r="AE43" i="1" s="1"/>
  <c r="AH43" i="1" s="1"/>
  <c r="AK43" i="1" s="1"/>
  <c r="AN43" i="1" s="1"/>
  <c r="AQ43" i="1" s="1"/>
  <c r="AT43" i="1" s="1"/>
  <c r="AW43" i="1" s="1"/>
  <c r="AZ43" i="1" s="1"/>
  <c r="BC43" i="1" s="1"/>
  <c r="BF43" i="1" s="1"/>
  <c r="BI43" i="1" s="1"/>
  <c r="BL43" i="1" s="1"/>
  <c r="BO43" i="1" s="1"/>
  <c r="BR43" i="1" s="1"/>
  <c r="BU43" i="1" s="1"/>
  <c r="BX43" i="1" s="1"/>
  <c r="CA43" i="1" s="1"/>
  <c r="CD43" i="1" s="1"/>
  <c r="CG43" i="1" s="1"/>
  <c r="CJ43" i="1" s="1"/>
  <c r="CM43" i="1" s="1"/>
  <c r="CP43" i="1" s="1"/>
  <c r="CS43" i="1" s="1"/>
  <c r="CV43" i="1" s="1"/>
  <c r="L57" i="1" l="1"/>
  <c r="M57" i="1"/>
  <c r="P57" i="1" s="1"/>
  <c r="S57" i="1" s="1"/>
  <c r="V57" i="1" s="1"/>
  <c r="Y57" i="1" s="1"/>
  <c r="AB57" i="1" s="1"/>
  <c r="AE57" i="1" s="1"/>
  <c r="AH57" i="1" s="1"/>
  <c r="AK57" i="1" s="1"/>
  <c r="AN57" i="1" s="1"/>
  <c r="AQ57" i="1" s="1"/>
  <c r="AT57" i="1" s="1"/>
  <c r="AW57" i="1" s="1"/>
  <c r="AZ57" i="1" s="1"/>
  <c r="BC57" i="1" s="1"/>
  <c r="BF57" i="1" s="1"/>
  <c r="BI57" i="1" s="1"/>
  <c r="BL57" i="1" s="1"/>
  <c r="BO57" i="1" s="1"/>
  <c r="BR57" i="1" s="1"/>
  <c r="BU57" i="1" s="1"/>
  <c r="BX57" i="1" s="1"/>
  <c r="CA57" i="1" s="1"/>
  <c r="CD57" i="1" s="1"/>
  <c r="CG57" i="1" s="1"/>
  <c r="CJ57" i="1" s="1"/>
  <c r="CM57" i="1" s="1"/>
  <c r="CP57" i="1" s="1"/>
  <c r="CS57" i="1" s="1"/>
  <c r="CV57" i="1" s="1"/>
  <c r="EH57" i="1"/>
  <c r="EH56" i="1"/>
  <c r="M56" i="1"/>
  <c r="P56" i="1" s="1"/>
  <c r="S56" i="1" s="1"/>
  <c r="V56" i="1" s="1"/>
  <c r="Y56" i="1" s="1"/>
  <c r="AB56" i="1" s="1"/>
  <c r="AE56" i="1" s="1"/>
  <c r="AH56" i="1" s="1"/>
  <c r="AK56" i="1" s="1"/>
  <c r="AN56" i="1" s="1"/>
  <c r="AQ56" i="1" s="1"/>
  <c r="AT56" i="1" s="1"/>
  <c r="AW56" i="1" s="1"/>
  <c r="AZ56" i="1" s="1"/>
  <c r="BC56" i="1" s="1"/>
  <c r="BF56" i="1" s="1"/>
  <c r="BI56" i="1" s="1"/>
  <c r="BL56" i="1" s="1"/>
  <c r="BO56" i="1" s="1"/>
  <c r="BR56" i="1" s="1"/>
  <c r="BU56" i="1" s="1"/>
  <c r="BX56" i="1" s="1"/>
  <c r="CA56" i="1" s="1"/>
  <c r="CD56" i="1" s="1"/>
  <c r="CG56" i="1" s="1"/>
  <c r="CJ56" i="1" s="1"/>
  <c r="CM56" i="1" s="1"/>
  <c r="CP56" i="1" s="1"/>
  <c r="CS56" i="1" s="1"/>
  <c r="CV56" i="1" s="1"/>
  <c r="L56" i="1"/>
  <c r="M63" i="1"/>
  <c r="L63" i="1"/>
  <c r="EH63" i="1"/>
  <c r="CY52" i="1"/>
  <c r="K59" i="1"/>
  <c r="N59" i="1" s="1"/>
  <c r="Q59" i="1" s="1"/>
  <c r="T59" i="1" s="1"/>
  <c r="W59" i="1" s="1"/>
  <c r="Z59" i="1" s="1"/>
  <c r="AC59" i="1" s="1"/>
  <c r="AF59" i="1" s="1"/>
  <c r="AI59" i="1" s="1"/>
  <c r="AL59" i="1" s="1"/>
  <c r="AO59" i="1" s="1"/>
  <c r="AR59" i="1" s="1"/>
  <c r="AU59" i="1" s="1"/>
  <c r="AX59" i="1" s="1"/>
  <c r="BA59" i="1" s="1"/>
  <c r="BD59" i="1" s="1"/>
  <c r="BG59" i="1" s="1"/>
  <c r="BJ59" i="1" s="1"/>
  <c r="BM59" i="1" s="1"/>
  <c r="BP59" i="1" s="1"/>
  <c r="BS59" i="1" s="1"/>
  <c r="BV59" i="1" s="1"/>
  <c r="BY59" i="1" s="1"/>
  <c r="CB59" i="1" s="1"/>
  <c r="CE59" i="1" s="1"/>
  <c r="CH59" i="1" s="1"/>
  <c r="CK59" i="1" s="1"/>
  <c r="CN59" i="1" s="1"/>
  <c r="CQ59" i="1" s="1"/>
  <c r="CT59" i="1" s="1"/>
  <c r="CW59" i="1" s="1"/>
  <c r="K35" i="1"/>
  <c r="N35" i="1" s="1"/>
  <c r="H24" i="1"/>
  <c r="K23" i="1"/>
  <c r="N23" i="1" s="1"/>
  <c r="K47" i="1"/>
  <c r="N47" i="1" s="1"/>
  <c r="Q47" i="1" s="1"/>
  <c r="T47" i="1" s="1"/>
  <c r="W47" i="1" s="1"/>
  <c r="Z47" i="1" s="1"/>
  <c r="AC47" i="1" s="1"/>
  <c r="AF47" i="1" s="1"/>
  <c r="AI47" i="1" s="1"/>
  <c r="AL47" i="1" s="1"/>
  <c r="AO47" i="1" s="1"/>
  <c r="AR47" i="1" s="1"/>
  <c r="AU47" i="1" s="1"/>
  <c r="AX47" i="1" s="1"/>
  <c r="BA47" i="1" s="1"/>
  <c r="BD47" i="1" s="1"/>
  <c r="BG47" i="1" s="1"/>
  <c r="BJ47" i="1" s="1"/>
  <c r="BM47" i="1" s="1"/>
  <c r="BP47" i="1" s="1"/>
  <c r="BS47" i="1" s="1"/>
  <c r="BV47" i="1" s="1"/>
  <c r="BY47" i="1" s="1"/>
  <c r="CB47" i="1" s="1"/>
  <c r="CE47" i="1" s="1"/>
  <c r="CH47" i="1" s="1"/>
  <c r="CK47" i="1" s="1"/>
  <c r="CN47" i="1" s="1"/>
  <c r="CQ47" i="1" s="1"/>
  <c r="CT47" i="1" s="1"/>
  <c r="CW47" i="1" s="1"/>
  <c r="Q22" i="1"/>
  <c r="T22" i="1" s="1"/>
  <c r="W22" i="1" s="1"/>
  <c r="Z22" i="1" s="1"/>
  <c r="AC22" i="1" s="1"/>
  <c r="AF22" i="1" s="1"/>
  <c r="AI22" i="1" s="1"/>
  <c r="AL22" i="1" s="1"/>
  <c r="AO22" i="1" s="1"/>
  <c r="AR22" i="1" s="1"/>
  <c r="AU22" i="1" s="1"/>
  <c r="AX22" i="1" s="1"/>
  <c r="BA22" i="1" s="1"/>
  <c r="BD22" i="1" s="1"/>
  <c r="BG22" i="1" s="1"/>
  <c r="BJ22" i="1" s="1"/>
  <c r="BM22" i="1" s="1"/>
  <c r="BP22" i="1" s="1"/>
  <c r="BS22" i="1" s="1"/>
  <c r="BV22" i="1" s="1"/>
  <c r="BY22" i="1" s="1"/>
  <c r="CB22" i="1" s="1"/>
  <c r="CE22" i="1" s="1"/>
  <c r="CH22" i="1" s="1"/>
  <c r="CK22" i="1" s="1"/>
  <c r="CN22" i="1" s="1"/>
  <c r="CQ22" i="1" s="1"/>
  <c r="CT22" i="1" s="1"/>
  <c r="CW22" i="1" s="1"/>
  <c r="P22" i="1"/>
  <c r="S22" i="1" s="1"/>
  <c r="V22" i="1" s="1"/>
  <c r="Y22" i="1" s="1"/>
  <c r="AB22" i="1" s="1"/>
  <c r="AE22" i="1" s="1"/>
  <c r="AH22" i="1" s="1"/>
  <c r="AK22" i="1" s="1"/>
  <c r="AN22" i="1" s="1"/>
  <c r="AQ22" i="1" s="1"/>
  <c r="AT22" i="1" s="1"/>
  <c r="AW22" i="1" s="1"/>
  <c r="AZ22" i="1" s="1"/>
  <c r="BC22" i="1" s="1"/>
  <c r="BF22" i="1" s="1"/>
  <c r="BI22" i="1" s="1"/>
  <c r="BL22" i="1" s="1"/>
  <c r="BO22" i="1" s="1"/>
  <c r="BR22" i="1" s="1"/>
  <c r="BU22" i="1" s="1"/>
  <c r="BX22" i="1" s="1"/>
  <c r="CA22" i="1" s="1"/>
  <c r="CD22" i="1" s="1"/>
  <c r="CG22" i="1" s="1"/>
  <c r="CJ22" i="1" s="1"/>
  <c r="CM22" i="1" s="1"/>
  <c r="CP22" i="1" s="1"/>
  <c r="CS22" i="1" s="1"/>
  <c r="CV22" i="1" s="1"/>
  <c r="O22" i="1"/>
  <c r="R34" i="1"/>
  <c r="CZ34" i="1"/>
  <c r="CY50" i="1"/>
  <c r="CY49" i="1"/>
  <c r="EH64" i="1"/>
  <c r="M64" i="1"/>
  <c r="L64" i="1"/>
  <c r="X19" i="1"/>
  <c r="DB19" i="1"/>
  <c r="O45" i="1"/>
  <c r="CY45" i="1"/>
  <c r="O43" i="1"/>
  <c r="CY43" i="1"/>
  <c r="EH62" i="1"/>
  <c r="M62" i="1"/>
  <c r="L62" i="1"/>
  <c r="R33" i="1"/>
  <c r="CZ33" i="1"/>
  <c r="P47" i="1"/>
  <c r="S47" i="1" s="1"/>
  <c r="V47" i="1" s="1"/>
  <c r="Y47" i="1" s="1"/>
  <c r="AB47" i="1" s="1"/>
  <c r="AE47" i="1" s="1"/>
  <c r="AH47" i="1" s="1"/>
  <c r="AK47" i="1" s="1"/>
  <c r="AN47" i="1" s="1"/>
  <c r="AQ47" i="1" s="1"/>
  <c r="AT47" i="1" s="1"/>
  <c r="AW47" i="1" s="1"/>
  <c r="AZ47" i="1" s="1"/>
  <c r="BC47" i="1" s="1"/>
  <c r="BF47" i="1" s="1"/>
  <c r="BI47" i="1" s="1"/>
  <c r="BL47" i="1" s="1"/>
  <c r="BO47" i="1" s="1"/>
  <c r="BR47" i="1" s="1"/>
  <c r="BU47" i="1" s="1"/>
  <c r="BX47" i="1" s="1"/>
  <c r="CA47" i="1" s="1"/>
  <c r="CD47" i="1" s="1"/>
  <c r="CG47" i="1" s="1"/>
  <c r="CJ47" i="1" s="1"/>
  <c r="CM47" i="1" s="1"/>
  <c r="CP47" i="1" s="1"/>
  <c r="CS47" i="1" s="1"/>
  <c r="CV47" i="1" s="1"/>
  <c r="L58" i="1"/>
  <c r="M58" i="1"/>
  <c r="P58" i="1" s="1"/>
  <c r="S58" i="1" s="1"/>
  <c r="V58" i="1" s="1"/>
  <c r="Y58" i="1" s="1"/>
  <c r="AB58" i="1" s="1"/>
  <c r="AE58" i="1" s="1"/>
  <c r="AH58" i="1" s="1"/>
  <c r="AK58" i="1" s="1"/>
  <c r="AN58" i="1" s="1"/>
  <c r="AQ58" i="1" s="1"/>
  <c r="AT58" i="1" s="1"/>
  <c r="AW58" i="1" s="1"/>
  <c r="AZ58" i="1" s="1"/>
  <c r="BC58" i="1" s="1"/>
  <c r="BF58" i="1" s="1"/>
  <c r="BI58" i="1" s="1"/>
  <c r="BL58" i="1" s="1"/>
  <c r="BO58" i="1" s="1"/>
  <c r="BR58" i="1" s="1"/>
  <c r="BU58" i="1" s="1"/>
  <c r="BX58" i="1" s="1"/>
  <c r="CA58" i="1" s="1"/>
  <c r="CD58" i="1" s="1"/>
  <c r="CG58" i="1" s="1"/>
  <c r="CJ58" i="1" s="1"/>
  <c r="CM58" i="1" s="1"/>
  <c r="CP58" i="1" s="1"/>
  <c r="CS58" i="1" s="1"/>
  <c r="CV58" i="1" s="1"/>
  <c r="EH58" i="1"/>
  <c r="EH59" i="1"/>
  <c r="M59" i="1"/>
  <c r="P59" i="1" s="1"/>
  <c r="S59" i="1" s="1"/>
  <c r="V59" i="1" s="1"/>
  <c r="Y59" i="1" s="1"/>
  <c r="AB59" i="1" s="1"/>
  <c r="AE59" i="1" s="1"/>
  <c r="AH59" i="1" s="1"/>
  <c r="AK59" i="1" s="1"/>
  <c r="AN59" i="1" s="1"/>
  <c r="AQ59" i="1" s="1"/>
  <c r="AT59" i="1" s="1"/>
  <c r="AW59" i="1" s="1"/>
  <c r="AZ59" i="1" s="1"/>
  <c r="BC59" i="1" s="1"/>
  <c r="BF59" i="1" s="1"/>
  <c r="BI59" i="1" s="1"/>
  <c r="BL59" i="1" s="1"/>
  <c r="BO59" i="1" s="1"/>
  <c r="BR59" i="1" s="1"/>
  <c r="BU59" i="1" s="1"/>
  <c r="BX59" i="1" s="1"/>
  <c r="CA59" i="1" s="1"/>
  <c r="CD59" i="1" s="1"/>
  <c r="CG59" i="1" s="1"/>
  <c r="CJ59" i="1" s="1"/>
  <c r="CM59" i="1" s="1"/>
  <c r="CP59" i="1" s="1"/>
  <c r="CS59" i="1" s="1"/>
  <c r="CV59" i="1" s="1"/>
  <c r="L59" i="1"/>
  <c r="M60" i="1"/>
  <c r="L60" i="1"/>
  <c r="EH60" i="1"/>
  <c r="EH65" i="1"/>
  <c r="M65" i="1"/>
  <c r="L65" i="1"/>
  <c r="CY51" i="1"/>
  <c r="O46" i="1"/>
  <c r="CY46" i="1"/>
  <c r="CY44" i="1"/>
  <c r="O44" i="1"/>
  <c r="O47" i="1"/>
  <c r="CY47" i="1"/>
  <c r="CY48" i="1"/>
  <c r="M66" i="1"/>
  <c r="L66" i="1"/>
  <c r="EH66" i="1"/>
  <c r="CY53" i="1"/>
  <c r="DA21" i="1"/>
  <c r="U21" i="1"/>
  <c r="P46" i="1"/>
  <c r="S46" i="1" s="1"/>
  <c r="V46" i="1" s="1"/>
  <c r="Y46" i="1" s="1"/>
  <c r="AB46" i="1" s="1"/>
  <c r="AE46" i="1" s="1"/>
  <c r="AH46" i="1" s="1"/>
  <c r="AK46" i="1" s="1"/>
  <c r="AN46" i="1" s="1"/>
  <c r="AQ46" i="1" s="1"/>
  <c r="AT46" i="1" s="1"/>
  <c r="AW46" i="1" s="1"/>
  <c r="AZ46" i="1" s="1"/>
  <c r="BC46" i="1" s="1"/>
  <c r="BF46" i="1" s="1"/>
  <c r="BI46" i="1" s="1"/>
  <c r="BL46" i="1" s="1"/>
  <c r="BO46" i="1" s="1"/>
  <c r="BR46" i="1" s="1"/>
  <c r="BU46" i="1" s="1"/>
  <c r="BX46" i="1" s="1"/>
  <c r="CA46" i="1" s="1"/>
  <c r="CD46" i="1" s="1"/>
  <c r="CG46" i="1" s="1"/>
  <c r="CJ46" i="1" s="1"/>
  <c r="CM46" i="1" s="1"/>
  <c r="CP46" i="1" s="1"/>
  <c r="CS46" i="1" s="1"/>
  <c r="CV46" i="1" s="1"/>
  <c r="U20" i="1"/>
  <c r="DA20" i="1"/>
  <c r="R31" i="1"/>
  <c r="CZ31" i="1"/>
  <c r="CY54" i="1"/>
  <c r="EH55" i="1"/>
  <c r="M55" i="1"/>
  <c r="P55" i="1" s="1"/>
  <c r="S55" i="1" s="1"/>
  <c r="V55" i="1" s="1"/>
  <c r="Y55" i="1" s="1"/>
  <c r="AB55" i="1" s="1"/>
  <c r="AE55" i="1" s="1"/>
  <c r="AH55" i="1" s="1"/>
  <c r="AK55" i="1" s="1"/>
  <c r="AN55" i="1" s="1"/>
  <c r="AQ55" i="1" s="1"/>
  <c r="AT55" i="1" s="1"/>
  <c r="AW55" i="1" s="1"/>
  <c r="AZ55" i="1" s="1"/>
  <c r="BC55" i="1" s="1"/>
  <c r="BF55" i="1" s="1"/>
  <c r="BI55" i="1" s="1"/>
  <c r="BL55" i="1" s="1"/>
  <c r="BO55" i="1" s="1"/>
  <c r="BR55" i="1" s="1"/>
  <c r="BU55" i="1" s="1"/>
  <c r="BX55" i="1" s="1"/>
  <c r="CA55" i="1" s="1"/>
  <c r="CD55" i="1" s="1"/>
  <c r="CG55" i="1" s="1"/>
  <c r="CJ55" i="1" s="1"/>
  <c r="CM55" i="1" s="1"/>
  <c r="CP55" i="1" s="1"/>
  <c r="CS55" i="1" s="1"/>
  <c r="CV55" i="1" s="1"/>
  <c r="L55" i="1"/>
  <c r="EH61" i="1"/>
  <c r="L61" i="1"/>
  <c r="M61" i="1"/>
  <c r="R32" i="1"/>
  <c r="CZ32" i="1"/>
  <c r="CY63" i="1" l="1"/>
  <c r="CY55" i="1"/>
  <c r="O55" i="1"/>
  <c r="DA34" i="1"/>
  <c r="U34" i="1"/>
  <c r="X21" i="1"/>
  <c r="DB21" i="1"/>
  <c r="P60" i="1"/>
  <c r="S60" i="1" s="1"/>
  <c r="V60" i="1" s="1"/>
  <c r="Y60" i="1" s="1"/>
  <c r="AB60" i="1" s="1"/>
  <c r="AE60" i="1" s="1"/>
  <c r="AH60" i="1" s="1"/>
  <c r="AK60" i="1" s="1"/>
  <c r="AN60" i="1" s="1"/>
  <c r="AQ60" i="1" s="1"/>
  <c r="AT60" i="1" s="1"/>
  <c r="AW60" i="1" s="1"/>
  <c r="AZ60" i="1" s="1"/>
  <c r="BC60" i="1" s="1"/>
  <c r="BF60" i="1" s="1"/>
  <c r="BI60" i="1" s="1"/>
  <c r="BL60" i="1" s="1"/>
  <c r="BO60" i="1" s="1"/>
  <c r="BR60" i="1" s="1"/>
  <c r="BU60" i="1" s="1"/>
  <c r="BX60" i="1" s="1"/>
  <c r="CA60" i="1" s="1"/>
  <c r="CD60" i="1" s="1"/>
  <c r="CG60" i="1" s="1"/>
  <c r="CJ60" i="1" s="1"/>
  <c r="CM60" i="1" s="1"/>
  <c r="CP60" i="1" s="1"/>
  <c r="CS60" i="1" s="1"/>
  <c r="CV60" i="1" s="1"/>
  <c r="O60" i="1"/>
  <c r="CY60" i="1"/>
  <c r="CZ44" i="1"/>
  <c r="R44" i="1"/>
  <c r="U33" i="1"/>
  <c r="DA33" i="1"/>
  <c r="CZ45" i="1"/>
  <c r="R45" i="1"/>
  <c r="Q23" i="1"/>
  <c r="T23" i="1" s="1"/>
  <c r="W23" i="1" s="1"/>
  <c r="Z23" i="1" s="1"/>
  <c r="AC23" i="1" s="1"/>
  <c r="AF23" i="1" s="1"/>
  <c r="AI23" i="1" s="1"/>
  <c r="AL23" i="1" s="1"/>
  <c r="AO23" i="1" s="1"/>
  <c r="AR23" i="1" s="1"/>
  <c r="AU23" i="1" s="1"/>
  <c r="AX23" i="1" s="1"/>
  <c r="BA23" i="1" s="1"/>
  <c r="BD23" i="1" s="1"/>
  <c r="BG23" i="1" s="1"/>
  <c r="BJ23" i="1" s="1"/>
  <c r="BM23" i="1" s="1"/>
  <c r="BP23" i="1" s="1"/>
  <c r="BS23" i="1" s="1"/>
  <c r="BV23" i="1" s="1"/>
  <c r="BY23" i="1" s="1"/>
  <c r="CB23" i="1" s="1"/>
  <c r="CE23" i="1" s="1"/>
  <c r="CH23" i="1" s="1"/>
  <c r="CK23" i="1" s="1"/>
  <c r="CN23" i="1" s="1"/>
  <c r="CQ23" i="1" s="1"/>
  <c r="CT23" i="1" s="1"/>
  <c r="CW23" i="1" s="1"/>
  <c r="O23" i="1"/>
  <c r="P23" i="1"/>
  <c r="S23" i="1" s="1"/>
  <c r="V23" i="1" s="1"/>
  <c r="Y23" i="1" s="1"/>
  <c r="AB23" i="1" s="1"/>
  <c r="AE23" i="1" s="1"/>
  <c r="AH23" i="1" s="1"/>
  <c r="AK23" i="1" s="1"/>
  <c r="AN23" i="1" s="1"/>
  <c r="AQ23" i="1" s="1"/>
  <c r="AT23" i="1" s="1"/>
  <c r="AW23" i="1" s="1"/>
  <c r="AZ23" i="1" s="1"/>
  <c r="BC23" i="1" s="1"/>
  <c r="BF23" i="1" s="1"/>
  <c r="BI23" i="1" s="1"/>
  <c r="BL23" i="1" s="1"/>
  <c r="BO23" i="1" s="1"/>
  <c r="BR23" i="1" s="1"/>
  <c r="BU23" i="1" s="1"/>
  <c r="BX23" i="1" s="1"/>
  <c r="CA23" i="1" s="1"/>
  <c r="CD23" i="1" s="1"/>
  <c r="CG23" i="1" s="1"/>
  <c r="CJ23" i="1" s="1"/>
  <c r="CM23" i="1" s="1"/>
  <c r="CP23" i="1" s="1"/>
  <c r="CS23" i="1" s="1"/>
  <c r="CV23" i="1" s="1"/>
  <c r="CY65" i="1"/>
  <c r="CY59" i="1"/>
  <c r="O59" i="1"/>
  <c r="K60" i="1"/>
  <c r="N60" i="1" s="1"/>
  <c r="Q60" i="1" s="1"/>
  <c r="T60" i="1" s="1"/>
  <c r="W60" i="1" s="1"/>
  <c r="Z60" i="1" s="1"/>
  <c r="AC60" i="1" s="1"/>
  <c r="AF60" i="1" s="1"/>
  <c r="AI60" i="1" s="1"/>
  <c r="AL60" i="1" s="1"/>
  <c r="AO60" i="1" s="1"/>
  <c r="AR60" i="1" s="1"/>
  <c r="AU60" i="1" s="1"/>
  <c r="AX60" i="1" s="1"/>
  <c r="BA60" i="1" s="1"/>
  <c r="BD60" i="1" s="1"/>
  <c r="BG60" i="1" s="1"/>
  <c r="BJ60" i="1" s="1"/>
  <c r="BM60" i="1" s="1"/>
  <c r="BP60" i="1" s="1"/>
  <c r="BS60" i="1" s="1"/>
  <c r="BV60" i="1" s="1"/>
  <c r="BY60" i="1" s="1"/>
  <c r="CB60" i="1" s="1"/>
  <c r="CE60" i="1" s="1"/>
  <c r="CH60" i="1" s="1"/>
  <c r="CK60" i="1" s="1"/>
  <c r="CN60" i="1" s="1"/>
  <c r="CQ60" i="1" s="1"/>
  <c r="CT60" i="1" s="1"/>
  <c r="CW60" i="1" s="1"/>
  <c r="K48" i="1"/>
  <c r="N48" i="1" s="1"/>
  <c r="K36" i="1"/>
  <c r="N36" i="1" s="1"/>
  <c r="K24" i="1"/>
  <c r="N24" i="1" s="1"/>
  <c r="H25" i="1"/>
  <c r="O58" i="1"/>
  <c r="CY58" i="1"/>
  <c r="CZ22" i="1"/>
  <c r="R22" i="1"/>
  <c r="CZ47" i="1"/>
  <c r="R47" i="1"/>
  <c r="CY61" i="1"/>
  <c r="Q35" i="1"/>
  <c r="T35" i="1" s="1"/>
  <c r="W35" i="1" s="1"/>
  <c r="Z35" i="1" s="1"/>
  <c r="AC35" i="1" s="1"/>
  <c r="AF35" i="1" s="1"/>
  <c r="AI35" i="1" s="1"/>
  <c r="AL35" i="1" s="1"/>
  <c r="AO35" i="1" s="1"/>
  <c r="AR35" i="1" s="1"/>
  <c r="AU35" i="1" s="1"/>
  <c r="AX35" i="1" s="1"/>
  <c r="BA35" i="1" s="1"/>
  <c r="BD35" i="1" s="1"/>
  <c r="BG35" i="1" s="1"/>
  <c r="BJ35" i="1" s="1"/>
  <c r="BM35" i="1" s="1"/>
  <c r="BP35" i="1" s="1"/>
  <c r="BS35" i="1" s="1"/>
  <c r="BV35" i="1" s="1"/>
  <c r="BY35" i="1" s="1"/>
  <c r="CB35" i="1" s="1"/>
  <c r="CE35" i="1" s="1"/>
  <c r="CH35" i="1" s="1"/>
  <c r="CK35" i="1" s="1"/>
  <c r="CN35" i="1" s="1"/>
  <c r="CQ35" i="1" s="1"/>
  <c r="CT35" i="1" s="1"/>
  <c r="CW35" i="1" s="1"/>
  <c r="O35" i="1"/>
  <c r="P35" i="1"/>
  <c r="S35" i="1" s="1"/>
  <c r="V35" i="1" s="1"/>
  <c r="Y35" i="1" s="1"/>
  <c r="AB35" i="1" s="1"/>
  <c r="AE35" i="1" s="1"/>
  <c r="AH35" i="1" s="1"/>
  <c r="AK35" i="1" s="1"/>
  <c r="AN35" i="1" s="1"/>
  <c r="AQ35" i="1" s="1"/>
  <c r="AT35" i="1" s="1"/>
  <c r="AW35" i="1" s="1"/>
  <c r="AZ35" i="1" s="1"/>
  <c r="BC35" i="1" s="1"/>
  <c r="BF35" i="1" s="1"/>
  <c r="BI35" i="1" s="1"/>
  <c r="BL35" i="1" s="1"/>
  <c r="BO35" i="1" s="1"/>
  <c r="BR35" i="1" s="1"/>
  <c r="BU35" i="1" s="1"/>
  <c r="BX35" i="1" s="1"/>
  <c r="CA35" i="1" s="1"/>
  <c r="CD35" i="1" s="1"/>
  <c r="CG35" i="1" s="1"/>
  <c r="CJ35" i="1" s="1"/>
  <c r="CM35" i="1" s="1"/>
  <c r="CP35" i="1" s="1"/>
  <c r="CS35" i="1" s="1"/>
  <c r="CV35" i="1" s="1"/>
  <c r="CY57" i="1"/>
  <c r="O57" i="1"/>
  <c r="DA31" i="1"/>
  <c r="U31" i="1"/>
  <c r="AA19" i="1"/>
  <c r="DC19" i="1"/>
  <c r="CZ43" i="1"/>
  <c r="R43" i="1"/>
  <c r="X20" i="1"/>
  <c r="DB20" i="1"/>
  <c r="CY64" i="1"/>
  <c r="O56" i="1"/>
  <c r="CY56" i="1"/>
  <c r="DA32" i="1"/>
  <c r="U32" i="1"/>
  <c r="CY66" i="1"/>
  <c r="R46" i="1"/>
  <c r="CZ46" i="1"/>
  <c r="CY62" i="1"/>
  <c r="DA44" i="1" l="1"/>
  <c r="U44" i="1"/>
  <c r="DB32" i="1"/>
  <c r="X32" i="1"/>
  <c r="Q48" i="1"/>
  <c r="T48" i="1" s="1"/>
  <c r="W48" i="1" s="1"/>
  <c r="Z48" i="1" s="1"/>
  <c r="AC48" i="1" s="1"/>
  <c r="AF48" i="1" s="1"/>
  <c r="AI48" i="1" s="1"/>
  <c r="AL48" i="1" s="1"/>
  <c r="AO48" i="1" s="1"/>
  <c r="AR48" i="1" s="1"/>
  <c r="AU48" i="1" s="1"/>
  <c r="AX48" i="1" s="1"/>
  <c r="BA48" i="1" s="1"/>
  <c r="BD48" i="1" s="1"/>
  <c r="BG48" i="1" s="1"/>
  <c r="BJ48" i="1" s="1"/>
  <c r="BM48" i="1" s="1"/>
  <c r="BP48" i="1" s="1"/>
  <c r="BS48" i="1" s="1"/>
  <c r="BV48" i="1" s="1"/>
  <c r="BY48" i="1" s="1"/>
  <c r="CB48" i="1" s="1"/>
  <c r="CE48" i="1" s="1"/>
  <c r="CH48" i="1" s="1"/>
  <c r="CK48" i="1" s="1"/>
  <c r="CN48" i="1" s="1"/>
  <c r="CQ48" i="1" s="1"/>
  <c r="CT48" i="1" s="1"/>
  <c r="CW48" i="1" s="1"/>
  <c r="P48" i="1"/>
  <c r="S48" i="1" s="1"/>
  <c r="V48" i="1" s="1"/>
  <c r="Y48" i="1" s="1"/>
  <c r="AB48" i="1" s="1"/>
  <c r="AE48" i="1" s="1"/>
  <c r="AH48" i="1" s="1"/>
  <c r="AK48" i="1" s="1"/>
  <c r="AN48" i="1" s="1"/>
  <c r="AQ48" i="1" s="1"/>
  <c r="AT48" i="1" s="1"/>
  <c r="AW48" i="1" s="1"/>
  <c r="AZ48" i="1" s="1"/>
  <c r="BC48" i="1" s="1"/>
  <c r="BF48" i="1" s="1"/>
  <c r="BI48" i="1" s="1"/>
  <c r="BL48" i="1" s="1"/>
  <c r="BO48" i="1" s="1"/>
  <c r="BR48" i="1" s="1"/>
  <c r="BU48" i="1" s="1"/>
  <c r="BX48" i="1" s="1"/>
  <c r="CA48" i="1" s="1"/>
  <c r="CD48" i="1" s="1"/>
  <c r="CG48" i="1" s="1"/>
  <c r="CJ48" i="1" s="1"/>
  <c r="CM48" i="1" s="1"/>
  <c r="CP48" i="1" s="1"/>
  <c r="CS48" i="1" s="1"/>
  <c r="CV48" i="1" s="1"/>
  <c r="O48" i="1"/>
  <c r="CZ57" i="1"/>
  <c r="R57" i="1"/>
  <c r="DA47" i="1"/>
  <c r="U47" i="1"/>
  <c r="DA43" i="1"/>
  <c r="U43" i="1"/>
  <c r="CZ58" i="1"/>
  <c r="R58" i="1"/>
  <c r="R60" i="1"/>
  <c r="CZ60" i="1"/>
  <c r="U22" i="1"/>
  <c r="DA22" i="1"/>
  <c r="R59" i="1"/>
  <c r="CZ59" i="1"/>
  <c r="R23" i="1"/>
  <c r="CZ23" i="1"/>
  <c r="DB33" i="1"/>
  <c r="X33" i="1"/>
  <c r="R35" i="1"/>
  <c r="CZ35" i="1"/>
  <c r="DA46" i="1"/>
  <c r="U46" i="1"/>
  <c r="AD19" i="1"/>
  <c r="DD19" i="1"/>
  <c r="Q36" i="1"/>
  <c r="T36" i="1" s="1"/>
  <c r="W36" i="1" s="1"/>
  <c r="Z36" i="1" s="1"/>
  <c r="AC36" i="1" s="1"/>
  <c r="AF36" i="1" s="1"/>
  <c r="AI36" i="1" s="1"/>
  <c r="AL36" i="1" s="1"/>
  <c r="AO36" i="1" s="1"/>
  <c r="AR36" i="1" s="1"/>
  <c r="AU36" i="1" s="1"/>
  <c r="AX36" i="1" s="1"/>
  <c r="BA36" i="1" s="1"/>
  <c r="BD36" i="1" s="1"/>
  <c r="BG36" i="1" s="1"/>
  <c r="BJ36" i="1" s="1"/>
  <c r="BM36" i="1" s="1"/>
  <c r="BP36" i="1" s="1"/>
  <c r="BS36" i="1" s="1"/>
  <c r="BV36" i="1" s="1"/>
  <c r="BY36" i="1" s="1"/>
  <c r="CB36" i="1" s="1"/>
  <c r="CE36" i="1" s="1"/>
  <c r="CH36" i="1" s="1"/>
  <c r="CK36" i="1" s="1"/>
  <c r="CN36" i="1" s="1"/>
  <c r="CQ36" i="1" s="1"/>
  <c r="CT36" i="1" s="1"/>
  <c r="CW36" i="1" s="1"/>
  <c r="P36" i="1"/>
  <c r="S36" i="1" s="1"/>
  <c r="V36" i="1" s="1"/>
  <c r="Y36" i="1" s="1"/>
  <c r="AB36" i="1" s="1"/>
  <c r="AE36" i="1" s="1"/>
  <c r="AH36" i="1" s="1"/>
  <c r="AK36" i="1" s="1"/>
  <c r="AN36" i="1" s="1"/>
  <c r="AQ36" i="1" s="1"/>
  <c r="AT36" i="1" s="1"/>
  <c r="AW36" i="1" s="1"/>
  <c r="AZ36" i="1" s="1"/>
  <c r="BC36" i="1" s="1"/>
  <c r="BF36" i="1" s="1"/>
  <c r="BI36" i="1" s="1"/>
  <c r="BL36" i="1" s="1"/>
  <c r="BO36" i="1" s="1"/>
  <c r="BR36" i="1" s="1"/>
  <c r="BU36" i="1" s="1"/>
  <c r="BX36" i="1" s="1"/>
  <c r="CA36" i="1" s="1"/>
  <c r="CD36" i="1" s="1"/>
  <c r="CG36" i="1" s="1"/>
  <c r="CJ36" i="1" s="1"/>
  <c r="CM36" i="1" s="1"/>
  <c r="CP36" i="1" s="1"/>
  <c r="CS36" i="1" s="1"/>
  <c r="CV36" i="1" s="1"/>
  <c r="O36" i="1"/>
  <c r="DC21" i="1"/>
  <c r="AA21" i="1"/>
  <c r="U45" i="1"/>
  <c r="DA45" i="1"/>
  <c r="CZ55" i="1"/>
  <c r="R55" i="1"/>
  <c r="K61" i="1"/>
  <c r="N61" i="1" s="1"/>
  <c r="K49" i="1"/>
  <c r="N49" i="1" s="1"/>
  <c r="K37" i="1"/>
  <c r="N37" i="1" s="1"/>
  <c r="H26" i="1"/>
  <c r="K25" i="1"/>
  <c r="N25" i="1" s="1"/>
  <c r="Q24" i="1"/>
  <c r="T24" i="1" s="1"/>
  <c r="W24" i="1" s="1"/>
  <c r="Z24" i="1" s="1"/>
  <c r="AC24" i="1" s="1"/>
  <c r="AF24" i="1" s="1"/>
  <c r="AI24" i="1" s="1"/>
  <c r="AL24" i="1" s="1"/>
  <c r="AO24" i="1" s="1"/>
  <c r="AR24" i="1" s="1"/>
  <c r="AU24" i="1" s="1"/>
  <c r="AX24" i="1" s="1"/>
  <c r="BA24" i="1" s="1"/>
  <c r="BD24" i="1" s="1"/>
  <c r="BG24" i="1" s="1"/>
  <c r="BJ24" i="1" s="1"/>
  <c r="BM24" i="1" s="1"/>
  <c r="BP24" i="1" s="1"/>
  <c r="BS24" i="1" s="1"/>
  <c r="BV24" i="1" s="1"/>
  <c r="BY24" i="1" s="1"/>
  <c r="CB24" i="1" s="1"/>
  <c r="CE24" i="1" s="1"/>
  <c r="CH24" i="1" s="1"/>
  <c r="CK24" i="1" s="1"/>
  <c r="CN24" i="1" s="1"/>
  <c r="CQ24" i="1" s="1"/>
  <c r="CT24" i="1" s="1"/>
  <c r="CW24" i="1" s="1"/>
  <c r="P24" i="1"/>
  <c r="O24" i="1"/>
  <c r="X31" i="1"/>
  <c r="DB31" i="1"/>
  <c r="CZ56" i="1"/>
  <c r="R56" i="1"/>
  <c r="X34" i="1"/>
  <c r="DB34" i="1"/>
  <c r="AA20" i="1"/>
  <c r="DC20" i="1"/>
  <c r="U55" i="1" l="1"/>
  <c r="DA55" i="1"/>
  <c r="CZ36" i="1"/>
  <c r="R36" i="1"/>
  <c r="R48" i="1"/>
  <c r="CZ48" i="1"/>
  <c r="DA57" i="1"/>
  <c r="U57" i="1"/>
  <c r="DA60" i="1"/>
  <c r="U60" i="1"/>
  <c r="U23" i="1"/>
  <c r="DA23" i="1"/>
  <c r="Q25" i="1"/>
  <c r="T25" i="1" s="1"/>
  <c r="W25" i="1" s="1"/>
  <c r="Z25" i="1" s="1"/>
  <c r="AC25" i="1" s="1"/>
  <c r="AF25" i="1" s="1"/>
  <c r="AI25" i="1" s="1"/>
  <c r="AL25" i="1" s="1"/>
  <c r="AO25" i="1" s="1"/>
  <c r="AR25" i="1" s="1"/>
  <c r="AU25" i="1" s="1"/>
  <c r="AX25" i="1" s="1"/>
  <c r="BA25" i="1" s="1"/>
  <c r="BD25" i="1" s="1"/>
  <c r="BG25" i="1" s="1"/>
  <c r="BJ25" i="1" s="1"/>
  <c r="BM25" i="1" s="1"/>
  <c r="BP25" i="1" s="1"/>
  <c r="BS25" i="1" s="1"/>
  <c r="BV25" i="1" s="1"/>
  <c r="BY25" i="1" s="1"/>
  <c r="CB25" i="1" s="1"/>
  <c r="CE25" i="1" s="1"/>
  <c r="CH25" i="1" s="1"/>
  <c r="CK25" i="1" s="1"/>
  <c r="CN25" i="1" s="1"/>
  <c r="CQ25" i="1" s="1"/>
  <c r="CT25" i="1" s="1"/>
  <c r="CW25" i="1" s="1"/>
  <c r="O25" i="1"/>
  <c r="P25" i="1"/>
  <c r="S25" i="1" s="1"/>
  <c r="V25" i="1" s="1"/>
  <c r="Y25" i="1" s="1"/>
  <c r="AB25" i="1" s="1"/>
  <c r="AE25" i="1" s="1"/>
  <c r="AH25" i="1" s="1"/>
  <c r="AK25" i="1" s="1"/>
  <c r="AN25" i="1" s="1"/>
  <c r="AQ25" i="1" s="1"/>
  <c r="AT25" i="1" s="1"/>
  <c r="AW25" i="1" s="1"/>
  <c r="AZ25" i="1" s="1"/>
  <c r="BC25" i="1" s="1"/>
  <c r="BF25" i="1" s="1"/>
  <c r="BI25" i="1" s="1"/>
  <c r="BL25" i="1" s="1"/>
  <c r="BO25" i="1" s="1"/>
  <c r="BR25" i="1" s="1"/>
  <c r="BU25" i="1" s="1"/>
  <c r="BX25" i="1" s="1"/>
  <c r="CA25" i="1" s="1"/>
  <c r="CD25" i="1" s="1"/>
  <c r="CG25" i="1" s="1"/>
  <c r="CJ25" i="1" s="1"/>
  <c r="CM25" i="1" s="1"/>
  <c r="CP25" i="1" s="1"/>
  <c r="CS25" i="1" s="1"/>
  <c r="CV25" i="1" s="1"/>
  <c r="DC32" i="1"/>
  <c r="AA32" i="1"/>
  <c r="DC33" i="1"/>
  <c r="AA33" i="1"/>
  <c r="DB44" i="1"/>
  <c r="X44" i="1"/>
  <c r="AD21" i="1"/>
  <c r="DD21" i="1"/>
  <c r="X43" i="1"/>
  <c r="DB43" i="1"/>
  <c r="U56" i="1"/>
  <c r="DA56" i="1"/>
  <c r="AA31" i="1"/>
  <c r="DC31" i="1"/>
  <c r="X45" i="1"/>
  <c r="DB45" i="1"/>
  <c r="U59" i="1"/>
  <c r="DA59" i="1"/>
  <c r="K62" i="1"/>
  <c r="N62" i="1" s="1"/>
  <c r="K38" i="1"/>
  <c r="N38" i="1" s="1"/>
  <c r="H27" i="1"/>
  <c r="K50" i="1"/>
  <c r="N50" i="1" s="1"/>
  <c r="K26" i="1"/>
  <c r="N26" i="1" s="1"/>
  <c r="Q37" i="1"/>
  <c r="T37" i="1" s="1"/>
  <c r="W37" i="1" s="1"/>
  <c r="Z37" i="1" s="1"/>
  <c r="AC37" i="1" s="1"/>
  <c r="AF37" i="1" s="1"/>
  <c r="AI37" i="1" s="1"/>
  <c r="AL37" i="1" s="1"/>
  <c r="AO37" i="1" s="1"/>
  <c r="AR37" i="1" s="1"/>
  <c r="AU37" i="1" s="1"/>
  <c r="AX37" i="1" s="1"/>
  <c r="BA37" i="1" s="1"/>
  <c r="BD37" i="1" s="1"/>
  <c r="BG37" i="1" s="1"/>
  <c r="BJ37" i="1" s="1"/>
  <c r="BM37" i="1" s="1"/>
  <c r="BP37" i="1" s="1"/>
  <c r="BS37" i="1" s="1"/>
  <c r="BV37" i="1" s="1"/>
  <c r="BY37" i="1" s="1"/>
  <c r="CB37" i="1" s="1"/>
  <c r="CE37" i="1" s="1"/>
  <c r="CH37" i="1" s="1"/>
  <c r="CK37" i="1" s="1"/>
  <c r="CN37" i="1" s="1"/>
  <c r="CQ37" i="1" s="1"/>
  <c r="CT37" i="1" s="1"/>
  <c r="CW37" i="1" s="1"/>
  <c r="P37" i="1"/>
  <c r="S37" i="1" s="1"/>
  <c r="V37" i="1" s="1"/>
  <c r="Y37" i="1" s="1"/>
  <c r="AB37" i="1" s="1"/>
  <c r="AE37" i="1" s="1"/>
  <c r="AH37" i="1" s="1"/>
  <c r="AK37" i="1" s="1"/>
  <c r="AN37" i="1" s="1"/>
  <c r="AQ37" i="1" s="1"/>
  <c r="AT37" i="1" s="1"/>
  <c r="AW37" i="1" s="1"/>
  <c r="AZ37" i="1" s="1"/>
  <c r="BC37" i="1" s="1"/>
  <c r="BF37" i="1" s="1"/>
  <c r="BI37" i="1" s="1"/>
  <c r="BL37" i="1" s="1"/>
  <c r="BO37" i="1" s="1"/>
  <c r="BR37" i="1" s="1"/>
  <c r="BU37" i="1" s="1"/>
  <c r="BX37" i="1" s="1"/>
  <c r="CA37" i="1" s="1"/>
  <c r="CD37" i="1" s="1"/>
  <c r="CG37" i="1" s="1"/>
  <c r="CJ37" i="1" s="1"/>
  <c r="CM37" i="1" s="1"/>
  <c r="CP37" i="1" s="1"/>
  <c r="CS37" i="1" s="1"/>
  <c r="CV37" i="1" s="1"/>
  <c r="O37" i="1"/>
  <c r="DA58" i="1"/>
  <c r="U58" i="1"/>
  <c r="Q61" i="1"/>
  <c r="T61" i="1" s="1"/>
  <c r="W61" i="1" s="1"/>
  <c r="Z61" i="1" s="1"/>
  <c r="AC61" i="1" s="1"/>
  <c r="AF61" i="1" s="1"/>
  <c r="AI61" i="1" s="1"/>
  <c r="AL61" i="1" s="1"/>
  <c r="AO61" i="1" s="1"/>
  <c r="AR61" i="1" s="1"/>
  <c r="AU61" i="1" s="1"/>
  <c r="AX61" i="1" s="1"/>
  <c r="BA61" i="1" s="1"/>
  <c r="BD61" i="1" s="1"/>
  <c r="BG61" i="1" s="1"/>
  <c r="BJ61" i="1" s="1"/>
  <c r="BM61" i="1" s="1"/>
  <c r="BP61" i="1" s="1"/>
  <c r="BS61" i="1" s="1"/>
  <c r="BV61" i="1" s="1"/>
  <c r="BY61" i="1" s="1"/>
  <c r="CB61" i="1" s="1"/>
  <c r="CE61" i="1" s="1"/>
  <c r="CH61" i="1" s="1"/>
  <c r="CK61" i="1" s="1"/>
  <c r="CN61" i="1" s="1"/>
  <c r="CQ61" i="1" s="1"/>
  <c r="CT61" i="1" s="1"/>
  <c r="CW61" i="1" s="1"/>
  <c r="O61" i="1"/>
  <c r="P61" i="1"/>
  <c r="S61" i="1" s="1"/>
  <c r="V61" i="1" s="1"/>
  <c r="Y61" i="1" s="1"/>
  <c r="AB61" i="1" s="1"/>
  <c r="AE61" i="1" s="1"/>
  <c r="AH61" i="1" s="1"/>
  <c r="AK61" i="1" s="1"/>
  <c r="AN61" i="1" s="1"/>
  <c r="AQ61" i="1" s="1"/>
  <c r="AT61" i="1" s="1"/>
  <c r="AW61" i="1" s="1"/>
  <c r="AZ61" i="1" s="1"/>
  <c r="BC61" i="1" s="1"/>
  <c r="BF61" i="1" s="1"/>
  <c r="BI61" i="1" s="1"/>
  <c r="BL61" i="1" s="1"/>
  <c r="BO61" i="1" s="1"/>
  <c r="BR61" i="1" s="1"/>
  <c r="BU61" i="1" s="1"/>
  <c r="BX61" i="1" s="1"/>
  <c r="CA61" i="1" s="1"/>
  <c r="CD61" i="1" s="1"/>
  <c r="CG61" i="1" s="1"/>
  <c r="CJ61" i="1" s="1"/>
  <c r="CM61" i="1" s="1"/>
  <c r="CP61" i="1" s="1"/>
  <c r="CS61" i="1" s="1"/>
  <c r="CV61" i="1" s="1"/>
  <c r="CZ24" i="1"/>
  <c r="R24" i="1"/>
  <c r="AG19" i="1"/>
  <c r="DE19" i="1"/>
  <c r="DA35" i="1"/>
  <c r="U35" i="1"/>
  <c r="X47" i="1"/>
  <c r="DB47" i="1"/>
  <c r="AA34" i="1"/>
  <c r="DC34" i="1"/>
  <c r="X46" i="1"/>
  <c r="DB46" i="1"/>
  <c r="Q49" i="1"/>
  <c r="T49" i="1" s="1"/>
  <c r="W49" i="1" s="1"/>
  <c r="Z49" i="1" s="1"/>
  <c r="AC49" i="1" s="1"/>
  <c r="AF49" i="1" s="1"/>
  <c r="AI49" i="1" s="1"/>
  <c r="AL49" i="1" s="1"/>
  <c r="AO49" i="1" s="1"/>
  <c r="AR49" i="1" s="1"/>
  <c r="AU49" i="1" s="1"/>
  <c r="AX49" i="1" s="1"/>
  <c r="BA49" i="1" s="1"/>
  <c r="BD49" i="1" s="1"/>
  <c r="BG49" i="1" s="1"/>
  <c r="BJ49" i="1" s="1"/>
  <c r="BM49" i="1" s="1"/>
  <c r="BP49" i="1" s="1"/>
  <c r="BS49" i="1" s="1"/>
  <c r="BV49" i="1" s="1"/>
  <c r="BY49" i="1" s="1"/>
  <c r="CB49" i="1" s="1"/>
  <c r="CE49" i="1" s="1"/>
  <c r="CH49" i="1" s="1"/>
  <c r="CK49" i="1" s="1"/>
  <c r="CN49" i="1" s="1"/>
  <c r="CQ49" i="1" s="1"/>
  <c r="CT49" i="1" s="1"/>
  <c r="CW49" i="1" s="1"/>
  <c r="P49" i="1"/>
  <c r="S49" i="1" s="1"/>
  <c r="V49" i="1" s="1"/>
  <c r="Y49" i="1" s="1"/>
  <c r="AB49" i="1" s="1"/>
  <c r="AE49" i="1" s="1"/>
  <c r="AH49" i="1" s="1"/>
  <c r="AK49" i="1" s="1"/>
  <c r="AN49" i="1" s="1"/>
  <c r="AQ49" i="1" s="1"/>
  <c r="AT49" i="1" s="1"/>
  <c r="AW49" i="1" s="1"/>
  <c r="AZ49" i="1" s="1"/>
  <c r="BC49" i="1" s="1"/>
  <c r="BF49" i="1" s="1"/>
  <c r="BI49" i="1" s="1"/>
  <c r="BL49" i="1" s="1"/>
  <c r="BO49" i="1" s="1"/>
  <c r="BR49" i="1" s="1"/>
  <c r="BU49" i="1" s="1"/>
  <c r="BX49" i="1" s="1"/>
  <c r="CA49" i="1" s="1"/>
  <c r="CD49" i="1" s="1"/>
  <c r="CG49" i="1" s="1"/>
  <c r="CJ49" i="1" s="1"/>
  <c r="CM49" i="1" s="1"/>
  <c r="CP49" i="1" s="1"/>
  <c r="CS49" i="1" s="1"/>
  <c r="CV49" i="1" s="1"/>
  <c r="O49" i="1"/>
  <c r="AD20" i="1"/>
  <c r="DD20" i="1"/>
  <c r="S24" i="1"/>
  <c r="V24" i="1" s="1"/>
  <c r="Y24" i="1" s="1"/>
  <c r="AB24" i="1" s="1"/>
  <c r="AE24" i="1" s="1"/>
  <c r="AH24" i="1" s="1"/>
  <c r="AK24" i="1" s="1"/>
  <c r="AN24" i="1" s="1"/>
  <c r="AQ24" i="1" s="1"/>
  <c r="AT24" i="1" s="1"/>
  <c r="AW24" i="1" s="1"/>
  <c r="AZ24" i="1" s="1"/>
  <c r="BC24" i="1" s="1"/>
  <c r="BF24" i="1" s="1"/>
  <c r="BI24" i="1" s="1"/>
  <c r="BL24" i="1" s="1"/>
  <c r="BO24" i="1" s="1"/>
  <c r="BR24" i="1" s="1"/>
  <c r="BU24" i="1" s="1"/>
  <c r="BX24" i="1" s="1"/>
  <c r="CA24" i="1" s="1"/>
  <c r="CD24" i="1" s="1"/>
  <c r="CG24" i="1" s="1"/>
  <c r="CJ24" i="1" s="1"/>
  <c r="CM24" i="1" s="1"/>
  <c r="CP24" i="1" s="1"/>
  <c r="CS24" i="1" s="1"/>
  <c r="CV24" i="1" s="1"/>
  <c r="DB22" i="1"/>
  <c r="X22" i="1"/>
  <c r="Q38" i="1" l="1"/>
  <c r="T38" i="1" s="1"/>
  <c r="W38" i="1" s="1"/>
  <c r="Z38" i="1" s="1"/>
  <c r="AC38" i="1" s="1"/>
  <c r="AF38" i="1" s="1"/>
  <c r="AI38" i="1" s="1"/>
  <c r="AL38" i="1" s="1"/>
  <c r="AO38" i="1" s="1"/>
  <c r="AR38" i="1" s="1"/>
  <c r="AU38" i="1" s="1"/>
  <c r="AX38" i="1" s="1"/>
  <c r="BA38" i="1" s="1"/>
  <c r="BD38" i="1" s="1"/>
  <c r="BG38" i="1" s="1"/>
  <c r="BJ38" i="1" s="1"/>
  <c r="BM38" i="1" s="1"/>
  <c r="BP38" i="1" s="1"/>
  <c r="BS38" i="1" s="1"/>
  <c r="BV38" i="1" s="1"/>
  <c r="BY38" i="1" s="1"/>
  <c r="CB38" i="1" s="1"/>
  <c r="CE38" i="1" s="1"/>
  <c r="CH38" i="1" s="1"/>
  <c r="CK38" i="1" s="1"/>
  <c r="CN38" i="1" s="1"/>
  <c r="CQ38" i="1" s="1"/>
  <c r="CT38" i="1" s="1"/>
  <c r="CW38" i="1" s="1"/>
  <c r="P38" i="1"/>
  <c r="S38" i="1" s="1"/>
  <c r="V38" i="1" s="1"/>
  <c r="Y38" i="1" s="1"/>
  <c r="AB38" i="1" s="1"/>
  <c r="AE38" i="1" s="1"/>
  <c r="AH38" i="1" s="1"/>
  <c r="AK38" i="1" s="1"/>
  <c r="AN38" i="1" s="1"/>
  <c r="AQ38" i="1" s="1"/>
  <c r="AT38" i="1" s="1"/>
  <c r="AW38" i="1" s="1"/>
  <c r="AZ38" i="1" s="1"/>
  <c r="BC38" i="1" s="1"/>
  <c r="BF38" i="1" s="1"/>
  <c r="BI38" i="1" s="1"/>
  <c r="BL38" i="1" s="1"/>
  <c r="BO38" i="1" s="1"/>
  <c r="BR38" i="1" s="1"/>
  <c r="BU38" i="1" s="1"/>
  <c r="BX38" i="1" s="1"/>
  <c r="CA38" i="1" s="1"/>
  <c r="CD38" i="1" s="1"/>
  <c r="CG38" i="1" s="1"/>
  <c r="CJ38" i="1" s="1"/>
  <c r="CM38" i="1" s="1"/>
  <c r="CP38" i="1" s="1"/>
  <c r="CS38" i="1" s="1"/>
  <c r="CV38" i="1" s="1"/>
  <c r="O38" i="1"/>
  <c r="DD33" i="1"/>
  <c r="AD33" i="1"/>
  <c r="DD34" i="1"/>
  <c r="AD34" i="1"/>
  <c r="U48" i="1"/>
  <c r="DA48" i="1"/>
  <c r="X58" i="1"/>
  <c r="DB58" i="1"/>
  <c r="AA47" i="1"/>
  <c r="DC47" i="1"/>
  <c r="R37" i="1"/>
  <c r="CZ37" i="1"/>
  <c r="U36" i="1"/>
  <c r="DA36" i="1"/>
  <c r="X56" i="1"/>
  <c r="DB56" i="1"/>
  <c r="DC22" i="1"/>
  <c r="AA22" i="1"/>
  <c r="DB35" i="1"/>
  <c r="X35" i="1"/>
  <c r="X23" i="1"/>
  <c r="DB23" i="1"/>
  <c r="CZ61" i="1"/>
  <c r="R61" i="1"/>
  <c r="AD32" i="1"/>
  <c r="DD32" i="1"/>
  <c r="DB59" i="1"/>
  <c r="X59" i="1"/>
  <c r="CZ25" i="1"/>
  <c r="R25" i="1"/>
  <c r="DE20" i="1"/>
  <c r="AG20" i="1"/>
  <c r="R49" i="1"/>
  <c r="CZ49" i="1"/>
  <c r="AJ19" i="1"/>
  <c r="DF19" i="1"/>
  <c r="Q26" i="1"/>
  <c r="T26" i="1" s="1"/>
  <c r="W26" i="1" s="1"/>
  <c r="Z26" i="1" s="1"/>
  <c r="AC26" i="1" s="1"/>
  <c r="AF26" i="1" s="1"/>
  <c r="AI26" i="1" s="1"/>
  <c r="AL26" i="1" s="1"/>
  <c r="AO26" i="1" s="1"/>
  <c r="AR26" i="1" s="1"/>
  <c r="AU26" i="1" s="1"/>
  <c r="AX26" i="1" s="1"/>
  <c r="BA26" i="1" s="1"/>
  <c r="BD26" i="1" s="1"/>
  <c r="BG26" i="1" s="1"/>
  <c r="BJ26" i="1" s="1"/>
  <c r="BM26" i="1" s="1"/>
  <c r="BP26" i="1" s="1"/>
  <c r="BS26" i="1" s="1"/>
  <c r="BV26" i="1" s="1"/>
  <c r="BY26" i="1" s="1"/>
  <c r="CB26" i="1" s="1"/>
  <c r="CE26" i="1" s="1"/>
  <c r="CH26" i="1" s="1"/>
  <c r="CK26" i="1" s="1"/>
  <c r="CN26" i="1" s="1"/>
  <c r="CQ26" i="1" s="1"/>
  <c r="CT26" i="1" s="1"/>
  <c r="CW26" i="1" s="1"/>
  <c r="P26" i="1"/>
  <c r="S26" i="1" s="1"/>
  <c r="V26" i="1" s="1"/>
  <c r="Y26" i="1" s="1"/>
  <c r="AB26" i="1" s="1"/>
  <c r="AE26" i="1" s="1"/>
  <c r="AH26" i="1" s="1"/>
  <c r="AK26" i="1" s="1"/>
  <c r="AN26" i="1" s="1"/>
  <c r="AQ26" i="1" s="1"/>
  <c r="AT26" i="1" s="1"/>
  <c r="AW26" i="1" s="1"/>
  <c r="AZ26" i="1" s="1"/>
  <c r="BC26" i="1" s="1"/>
  <c r="BF26" i="1" s="1"/>
  <c r="BI26" i="1" s="1"/>
  <c r="BL26" i="1" s="1"/>
  <c r="BO26" i="1" s="1"/>
  <c r="BR26" i="1" s="1"/>
  <c r="BU26" i="1" s="1"/>
  <c r="BX26" i="1" s="1"/>
  <c r="CA26" i="1" s="1"/>
  <c r="CD26" i="1" s="1"/>
  <c r="CG26" i="1" s="1"/>
  <c r="CJ26" i="1" s="1"/>
  <c r="CM26" i="1" s="1"/>
  <c r="CP26" i="1" s="1"/>
  <c r="CS26" i="1" s="1"/>
  <c r="CV26" i="1" s="1"/>
  <c r="O26" i="1"/>
  <c r="DC45" i="1"/>
  <c r="AA45" i="1"/>
  <c r="AG21" i="1"/>
  <c r="DE21" i="1"/>
  <c r="DB60" i="1"/>
  <c r="X60" i="1"/>
  <c r="AA46" i="1"/>
  <c r="DC46" i="1"/>
  <c r="Q62" i="1"/>
  <c r="T62" i="1" s="1"/>
  <c r="W62" i="1" s="1"/>
  <c r="Z62" i="1" s="1"/>
  <c r="AC62" i="1" s="1"/>
  <c r="AF62" i="1" s="1"/>
  <c r="AI62" i="1" s="1"/>
  <c r="AL62" i="1" s="1"/>
  <c r="AO62" i="1" s="1"/>
  <c r="AR62" i="1" s="1"/>
  <c r="AU62" i="1" s="1"/>
  <c r="AX62" i="1" s="1"/>
  <c r="BA62" i="1" s="1"/>
  <c r="BD62" i="1" s="1"/>
  <c r="BG62" i="1" s="1"/>
  <c r="BJ62" i="1" s="1"/>
  <c r="BM62" i="1" s="1"/>
  <c r="BP62" i="1" s="1"/>
  <c r="BS62" i="1" s="1"/>
  <c r="BV62" i="1" s="1"/>
  <c r="BY62" i="1" s="1"/>
  <c r="CB62" i="1" s="1"/>
  <c r="CE62" i="1" s="1"/>
  <c r="CH62" i="1" s="1"/>
  <c r="CK62" i="1" s="1"/>
  <c r="CN62" i="1" s="1"/>
  <c r="CQ62" i="1" s="1"/>
  <c r="CT62" i="1" s="1"/>
  <c r="CW62" i="1" s="1"/>
  <c r="O62" i="1"/>
  <c r="P62" i="1"/>
  <c r="S62" i="1" s="1"/>
  <c r="V62" i="1" s="1"/>
  <c r="Y62" i="1" s="1"/>
  <c r="AB62" i="1" s="1"/>
  <c r="AE62" i="1" s="1"/>
  <c r="AH62" i="1" s="1"/>
  <c r="AK62" i="1" s="1"/>
  <c r="AN62" i="1" s="1"/>
  <c r="AQ62" i="1" s="1"/>
  <c r="AT62" i="1" s="1"/>
  <c r="AW62" i="1" s="1"/>
  <c r="AZ62" i="1" s="1"/>
  <c r="BC62" i="1" s="1"/>
  <c r="BF62" i="1" s="1"/>
  <c r="BI62" i="1" s="1"/>
  <c r="BL62" i="1" s="1"/>
  <c r="BO62" i="1" s="1"/>
  <c r="BR62" i="1" s="1"/>
  <c r="BU62" i="1" s="1"/>
  <c r="BX62" i="1" s="1"/>
  <c r="CA62" i="1" s="1"/>
  <c r="CD62" i="1" s="1"/>
  <c r="CG62" i="1" s="1"/>
  <c r="CJ62" i="1" s="1"/>
  <c r="CM62" i="1" s="1"/>
  <c r="CP62" i="1" s="1"/>
  <c r="CS62" i="1" s="1"/>
  <c r="CV62" i="1" s="1"/>
  <c r="AA43" i="1"/>
  <c r="DC43" i="1"/>
  <c r="U24" i="1"/>
  <c r="DA24" i="1"/>
  <c r="Q50" i="1"/>
  <c r="T50" i="1" s="1"/>
  <c r="W50" i="1" s="1"/>
  <c r="Z50" i="1" s="1"/>
  <c r="AC50" i="1" s="1"/>
  <c r="AF50" i="1" s="1"/>
  <c r="AI50" i="1" s="1"/>
  <c r="AL50" i="1" s="1"/>
  <c r="AO50" i="1" s="1"/>
  <c r="AR50" i="1" s="1"/>
  <c r="AU50" i="1" s="1"/>
  <c r="AX50" i="1" s="1"/>
  <c r="BA50" i="1" s="1"/>
  <c r="BD50" i="1" s="1"/>
  <c r="BG50" i="1" s="1"/>
  <c r="BJ50" i="1" s="1"/>
  <c r="BM50" i="1" s="1"/>
  <c r="BP50" i="1" s="1"/>
  <c r="BS50" i="1" s="1"/>
  <c r="BV50" i="1" s="1"/>
  <c r="BY50" i="1" s="1"/>
  <c r="CB50" i="1" s="1"/>
  <c r="CE50" i="1" s="1"/>
  <c r="CH50" i="1" s="1"/>
  <c r="CK50" i="1" s="1"/>
  <c r="CN50" i="1" s="1"/>
  <c r="CQ50" i="1" s="1"/>
  <c r="CT50" i="1" s="1"/>
  <c r="CW50" i="1" s="1"/>
  <c r="O50" i="1"/>
  <c r="P50" i="1"/>
  <c r="DC44" i="1"/>
  <c r="AA44" i="1"/>
  <c r="X55" i="1"/>
  <c r="DB55" i="1"/>
  <c r="K63" i="1"/>
  <c r="N63" i="1" s="1"/>
  <c r="K51" i="1"/>
  <c r="N51" i="1" s="1"/>
  <c r="K39" i="1"/>
  <c r="N39" i="1" s="1"/>
  <c r="H28" i="1"/>
  <c r="K27" i="1"/>
  <c r="N27" i="1" s="1"/>
  <c r="AD31" i="1"/>
  <c r="DD31" i="1"/>
  <c r="X57" i="1"/>
  <c r="DB57" i="1"/>
  <c r="U49" i="1" l="1"/>
  <c r="DA49" i="1"/>
  <c r="DD22" i="1"/>
  <c r="AD22" i="1"/>
  <c r="U25" i="1"/>
  <c r="DA25" i="1"/>
  <c r="DC55" i="1"/>
  <c r="AA55" i="1"/>
  <c r="DD45" i="1"/>
  <c r="AD45" i="1"/>
  <c r="DC23" i="1"/>
  <c r="AA23" i="1"/>
  <c r="X48" i="1"/>
  <c r="DB48" i="1"/>
  <c r="AA57" i="1"/>
  <c r="DC57" i="1"/>
  <c r="AD44" i="1"/>
  <c r="DD44" i="1"/>
  <c r="AD43" i="1"/>
  <c r="DD43" i="1"/>
  <c r="DC59" i="1"/>
  <c r="AA59" i="1"/>
  <c r="AA35" i="1"/>
  <c r="DC35" i="1"/>
  <c r="Q51" i="1"/>
  <c r="T51" i="1" s="1"/>
  <c r="W51" i="1" s="1"/>
  <c r="Z51" i="1" s="1"/>
  <c r="AC51" i="1" s="1"/>
  <c r="AF51" i="1" s="1"/>
  <c r="AI51" i="1" s="1"/>
  <c r="AL51" i="1" s="1"/>
  <c r="AO51" i="1" s="1"/>
  <c r="AR51" i="1" s="1"/>
  <c r="AU51" i="1" s="1"/>
  <c r="AX51" i="1" s="1"/>
  <c r="BA51" i="1" s="1"/>
  <c r="BD51" i="1" s="1"/>
  <c r="BG51" i="1" s="1"/>
  <c r="BJ51" i="1" s="1"/>
  <c r="BM51" i="1" s="1"/>
  <c r="BP51" i="1" s="1"/>
  <c r="BS51" i="1" s="1"/>
  <c r="BV51" i="1" s="1"/>
  <c r="BY51" i="1" s="1"/>
  <c r="CB51" i="1" s="1"/>
  <c r="CE51" i="1" s="1"/>
  <c r="CH51" i="1" s="1"/>
  <c r="CK51" i="1" s="1"/>
  <c r="CN51" i="1" s="1"/>
  <c r="CQ51" i="1" s="1"/>
  <c r="CT51" i="1" s="1"/>
  <c r="CW51" i="1" s="1"/>
  <c r="P51" i="1"/>
  <c r="S51" i="1" s="1"/>
  <c r="V51" i="1" s="1"/>
  <c r="Y51" i="1" s="1"/>
  <c r="AB51" i="1" s="1"/>
  <c r="AE51" i="1" s="1"/>
  <c r="AH51" i="1" s="1"/>
  <c r="AK51" i="1" s="1"/>
  <c r="AN51" i="1" s="1"/>
  <c r="AQ51" i="1" s="1"/>
  <c r="AT51" i="1" s="1"/>
  <c r="AW51" i="1" s="1"/>
  <c r="AZ51" i="1" s="1"/>
  <c r="BC51" i="1" s="1"/>
  <c r="BF51" i="1" s="1"/>
  <c r="BI51" i="1" s="1"/>
  <c r="BL51" i="1" s="1"/>
  <c r="BO51" i="1" s="1"/>
  <c r="BR51" i="1" s="1"/>
  <c r="BU51" i="1" s="1"/>
  <c r="BX51" i="1" s="1"/>
  <c r="CA51" i="1" s="1"/>
  <c r="CD51" i="1" s="1"/>
  <c r="CG51" i="1" s="1"/>
  <c r="CJ51" i="1" s="1"/>
  <c r="CM51" i="1" s="1"/>
  <c r="CP51" i="1" s="1"/>
  <c r="CS51" i="1" s="1"/>
  <c r="CV51" i="1" s="1"/>
  <c r="O51" i="1"/>
  <c r="DD47" i="1"/>
  <c r="AD47" i="1"/>
  <c r="DF20" i="1"/>
  <c r="AJ20" i="1"/>
  <c r="DC58" i="1"/>
  <c r="AA58" i="1"/>
  <c r="DF21" i="1"/>
  <c r="AJ21" i="1"/>
  <c r="Q63" i="1"/>
  <c r="T63" i="1" s="1"/>
  <c r="W63" i="1" s="1"/>
  <c r="Z63" i="1" s="1"/>
  <c r="AC63" i="1" s="1"/>
  <c r="AF63" i="1" s="1"/>
  <c r="AI63" i="1" s="1"/>
  <c r="AL63" i="1" s="1"/>
  <c r="AO63" i="1" s="1"/>
  <c r="AR63" i="1" s="1"/>
  <c r="AU63" i="1" s="1"/>
  <c r="AX63" i="1" s="1"/>
  <c r="BA63" i="1" s="1"/>
  <c r="BD63" i="1" s="1"/>
  <c r="BG63" i="1" s="1"/>
  <c r="BJ63" i="1" s="1"/>
  <c r="BM63" i="1" s="1"/>
  <c r="BP63" i="1" s="1"/>
  <c r="BS63" i="1" s="1"/>
  <c r="BV63" i="1" s="1"/>
  <c r="BY63" i="1" s="1"/>
  <c r="CB63" i="1" s="1"/>
  <c r="CE63" i="1" s="1"/>
  <c r="CH63" i="1" s="1"/>
  <c r="CK63" i="1" s="1"/>
  <c r="CN63" i="1" s="1"/>
  <c r="CQ63" i="1" s="1"/>
  <c r="CT63" i="1" s="1"/>
  <c r="CW63" i="1" s="1"/>
  <c r="O63" i="1"/>
  <c r="P63" i="1"/>
  <c r="S63" i="1" s="1"/>
  <c r="V63" i="1" s="1"/>
  <c r="Y63" i="1" s="1"/>
  <c r="AB63" i="1" s="1"/>
  <c r="AE63" i="1" s="1"/>
  <c r="AH63" i="1" s="1"/>
  <c r="AK63" i="1" s="1"/>
  <c r="AN63" i="1" s="1"/>
  <c r="AQ63" i="1" s="1"/>
  <c r="AT63" i="1" s="1"/>
  <c r="AW63" i="1" s="1"/>
  <c r="AZ63" i="1" s="1"/>
  <c r="BC63" i="1" s="1"/>
  <c r="BF63" i="1" s="1"/>
  <c r="BI63" i="1" s="1"/>
  <c r="BL63" i="1" s="1"/>
  <c r="BO63" i="1" s="1"/>
  <c r="BR63" i="1" s="1"/>
  <c r="BU63" i="1" s="1"/>
  <c r="BX63" i="1" s="1"/>
  <c r="CA63" i="1" s="1"/>
  <c r="CD63" i="1" s="1"/>
  <c r="CG63" i="1" s="1"/>
  <c r="CJ63" i="1" s="1"/>
  <c r="CM63" i="1" s="1"/>
  <c r="CP63" i="1" s="1"/>
  <c r="CS63" i="1" s="1"/>
  <c r="CV63" i="1" s="1"/>
  <c r="AA60" i="1"/>
  <c r="DC60" i="1"/>
  <c r="R38" i="1"/>
  <c r="CZ38" i="1"/>
  <c r="X24" i="1"/>
  <c r="DB24" i="1"/>
  <c r="CZ26" i="1"/>
  <c r="R26" i="1"/>
  <c r="AA56" i="1"/>
  <c r="DC56" i="1"/>
  <c r="DE31" i="1"/>
  <c r="AG31" i="1"/>
  <c r="R62" i="1"/>
  <c r="CZ62" i="1"/>
  <c r="Q27" i="1"/>
  <c r="T27" i="1" s="1"/>
  <c r="W27" i="1" s="1"/>
  <c r="Z27" i="1" s="1"/>
  <c r="AC27" i="1" s="1"/>
  <c r="AF27" i="1" s="1"/>
  <c r="AI27" i="1" s="1"/>
  <c r="AL27" i="1" s="1"/>
  <c r="AO27" i="1" s="1"/>
  <c r="AR27" i="1" s="1"/>
  <c r="AU27" i="1" s="1"/>
  <c r="AX27" i="1" s="1"/>
  <c r="BA27" i="1" s="1"/>
  <c r="BD27" i="1" s="1"/>
  <c r="BG27" i="1" s="1"/>
  <c r="BJ27" i="1" s="1"/>
  <c r="BM27" i="1" s="1"/>
  <c r="BP27" i="1" s="1"/>
  <c r="BS27" i="1" s="1"/>
  <c r="BV27" i="1" s="1"/>
  <c r="BY27" i="1" s="1"/>
  <c r="CB27" i="1" s="1"/>
  <c r="CE27" i="1" s="1"/>
  <c r="CH27" i="1" s="1"/>
  <c r="CK27" i="1" s="1"/>
  <c r="CN27" i="1" s="1"/>
  <c r="CQ27" i="1" s="1"/>
  <c r="CT27" i="1" s="1"/>
  <c r="CW27" i="1" s="1"/>
  <c r="P27" i="1"/>
  <c r="S27" i="1" s="1"/>
  <c r="V27" i="1" s="1"/>
  <c r="Y27" i="1" s="1"/>
  <c r="AB27" i="1" s="1"/>
  <c r="AE27" i="1" s="1"/>
  <c r="AH27" i="1" s="1"/>
  <c r="AK27" i="1" s="1"/>
  <c r="AN27" i="1" s="1"/>
  <c r="AQ27" i="1" s="1"/>
  <c r="AT27" i="1" s="1"/>
  <c r="AW27" i="1" s="1"/>
  <c r="AZ27" i="1" s="1"/>
  <c r="BC27" i="1" s="1"/>
  <c r="BF27" i="1" s="1"/>
  <c r="BI27" i="1" s="1"/>
  <c r="BL27" i="1" s="1"/>
  <c r="BO27" i="1" s="1"/>
  <c r="BR27" i="1" s="1"/>
  <c r="BU27" i="1" s="1"/>
  <c r="BX27" i="1" s="1"/>
  <c r="CA27" i="1" s="1"/>
  <c r="CD27" i="1" s="1"/>
  <c r="CG27" i="1" s="1"/>
  <c r="CJ27" i="1" s="1"/>
  <c r="CM27" i="1" s="1"/>
  <c r="CP27" i="1" s="1"/>
  <c r="CS27" i="1" s="1"/>
  <c r="CV27" i="1" s="1"/>
  <c r="O27" i="1"/>
  <c r="AG32" i="1"/>
  <c r="DE32" i="1"/>
  <c r="X36" i="1"/>
  <c r="DB36" i="1"/>
  <c r="DE34" i="1"/>
  <c r="AG34" i="1"/>
  <c r="K64" i="1"/>
  <c r="N64" i="1" s="1"/>
  <c r="K52" i="1"/>
  <c r="N52" i="1" s="1"/>
  <c r="K40" i="1"/>
  <c r="N40" i="1" s="1"/>
  <c r="K28" i="1"/>
  <c r="N28" i="1" s="1"/>
  <c r="H29" i="1"/>
  <c r="S50" i="1"/>
  <c r="V50" i="1" s="1"/>
  <c r="Y50" i="1" s="1"/>
  <c r="AB50" i="1" s="1"/>
  <c r="AE50" i="1" s="1"/>
  <c r="AH50" i="1" s="1"/>
  <c r="AK50" i="1" s="1"/>
  <c r="AN50" i="1" s="1"/>
  <c r="AQ50" i="1" s="1"/>
  <c r="AT50" i="1" s="1"/>
  <c r="AW50" i="1" s="1"/>
  <c r="AZ50" i="1" s="1"/>
  <c r="BC50" i="1" s="1"/>
  <c r="BF50" i="1" s="1"/>
  <c r="BI50" i="1" s="1"/>
  <c r="BL50" i="1" s="1"/>
  <c r="BO50" i="1" s="1"/>
  <c r="BR50" i="1" s="1"/>
  <c r="BU50" i="1" s="1"/>
  <c r="BX50" i="1" s="1"/>
  <c r="CA50" i="1" s="1"/>
  <c r="CD50" i="1" s="1"/>
  <c r="CG50" i="1" s="1"/>
  <c r="CJ50" i="1" s="1"/>
  <c r="CM50" i="1" s="1"/>
  <c r="CP50" i="1" s="1"/>
  <c r="CS50" i="1" s="1"/>
  <c r="CV50" i="1" s="1"/>
  <c r="U61" i="1"/>
  <c r="DA61" i="1"/>
  <c r="Q39" i="1"/>
  <c r="T39" i="1" s="1"/>
  <c r="W39" i="1" s="1"/>
  <c r="Z39" i="1" s="1"/>
  <c r="AC39" i="1" s="1"/>
  <c r="AF39" i="1" s="1"/>
  <c r="AI39" i="1" s="1"/>
  <c r="AL39" i="1" s="1"/>
  <c r="AO39" i="1" s="1"/>
  <c r="AR39" i="1" s="1"/>
  <c r="AU39" i="1" s="1"/>
  <c r="AX39" i="1" s="1"/>
  <c r="BA39" i="1" s="1"/>
  <c r="BD39" i="1" s="1"/>
  <c r="BG39" i="1" s="1"/>
  <c r="BJ39" i="1" s="1"/>
  <c r="BM39" i="1" s="1"/>
  <c r="BP39" i="1" s="1"/>
  <c r="BS39" i="1" s="1"/>
  <c r="BV39" i="1" s="1"/>
  <c r="BY39" i="1" s="1"/>
  <c r="CB39" i="1" s="1"/>
  <c r="CE39" i="1" s="1"/>
  <c r="CH39" i="1" s="1"/>
  <c r="CK39" i="1" s="1"/>
  <c r="CN39" i="1" s="1"/>
  <c r="CQ39" i="1" s="1"/>
  <c r="CT39" i="1" s="1"/>
  <c r="CW39" i="1" s="1"/>
  <c r="P39" i="1"/>
  <c r="S39" i="1" s="1"/>
  <c r="V39" i="1" s="1"/>
  <c r="Y39" i="1" s="1"/>
  <c r="AB39" i="1" s="1"/>
  <c r="AE39" i="1" s="1"/>
  <c r="AH39" i="1" s="1"/>
  <c r="AK39" i="1" s="1"/>
  <c r="AN39" i="1" s="1"/>
  <c r="AQ39" i="1" s="1"/>
  <c r="AT39" i="1" s="1"/>
  <c r="AW39" i="1" s="1"/>
  <c r="AZ39" i="1" s="1"/>
  <c r="BC39" i="1" s="1"/>
  <c r="BF39" i="1" s="1"/>
  <c r="BI39" i="1" s="1"/>
  <c r="BL39" i="1" s="1"/>
  <c r="BO39" i="1" s="1"/>
  <c r="BR39" i="1" s="1"/>
  <c r="BU39" i="1" s="1"/>
  <c r="BX39" i="1" s="1"/>
  <c r="CA39" i="1" s="1"/>
  <c r="CD39" i="1" s="1"/>
  <c r="CG39" i="1" s="1"/>
  <c r="CJ39" i="1" s="1"/>
  <c r="CM39" i="1" s="1"/>
  <c r="CP39" i="1" s="1"/>
  <c r="CS39" i="1" s="1"/>
  <c r="CV39" i="1" s="1"/>
  <c r="O39" i="1"/>
  <c r="CZ50" i="1"/>
  <c r="R50" i="1"/>
  <c r="DD46" i="1"/>
  <c r="AD46" i="1"/>
  <c r="DG19" i="1"/>
  <c r="AM19" i="1"/>
  <c r="DA37" i="1"/>
  <c r="U37" i="1"/>
  <c r="AG33" i="1"/>
  <c r="DE33" i="1"/>
  <c r="DD59" i="1" l="1"/>
  <c r="AD59" i="1"/>
  <c r="Q40" i="1"/>
  <c r="T40" i="1" s="1"/>
  <c r="W40" i="1" s="1"/>
  <c r="Z40" i="1" s="1"/>
  <c r="AC40" i="1" s="1"/>
  <c r="AF40" i="1" s="1"/>
  <c r="AI40" i="1" s="1"/>
  <c r="AL40" i="1" s="1"/>
  <c r="AO40" i="1" s="1"/>
  <c r="AR40" i="1" s="1"/>
  <c r="AU40" i="1" s="1"/>
  <c r="AX40" i="1" s="1"/>
  <c r="BA40" i="1" s="1"/>
  <c r="BD40" i="1" s="1"/>
  <c r="BG40" i="1" s="1"/>
  <c r="BJ40" i="1" s="1"/>
  <c r="BM40" i="1" s="1"/>
  <c r="BP40" i="1" s="1"/>
  <c r="BS40" i="1" s="1"/>
  <c r="BV40" i="1" s="1"/>
  <c r="BY40" i="1" s="1"/>
  <c r="CB40" i="1" s="1"/>
  <c r="CE40" i="1" s="1"/>
  <c r="CH40" i="1" s="1"/>
  <c r="CK40" i="1" s="1"/>
  <c r="CN40" i="1" s="1"/>
  <c r="CQ40" i="1" s="1"/>
  <c r="CT40" i="1" s="1"/>
  <c r="CW40" i="1" s="1"/>
  <c r="O40" i="1"/>
  <c r="P40" i="1"/>
  <c r="DD60" i="1"/>
  <c r="AD60" i="1"/>
  <c r="Q64" i="1"/>
  <c r="T64" i="1" s="1"/>
  <c r="W64" i="1" s="1"/>
  <c r="Z64" i="1" s="1"/>
  <c r="AC64" i="1" s="1"/>
  <c r="AF64" i="1" s="1"/>
  <c r="AI64" i="1" s="1"/>
  <c r="AL64" i="1" s="1"/>
  <c r="AO64" i="1" s="1"/>
  <c r="AR64" i="1" s="1"/>
  <c r="AU64" i="1" s="1"/>
  <c r="AX64" i="1" s="1"/>
  <c r="BA64" i="1" s="1"/>
  <c r="BD64" i="1" s="1"/>
  <c r="BG64" i="1" s="1"/>
  <c r="BJ64" i="1" s="1"/>
  <c r="BM64" i="1" s="1"/>
  <c r="BP64" i="1" s="1"/>
  <c r="BS64" i="1" s="1"/>
  <c r="BV64" i="1" s="1"/>
  <c r="BY64" i="1" s="1"/>
  <c r="CB64" i="1" s="1"/>
  <c r="CE64" i="1" s="1"/>
  <c r="CH64" i="1" s="1"/>
  <c r="CK64" i="1" s="1"/>
  <c r="CN64" i="1" s="1"/>
  <c r="CQ64" i="1" s="1"/>
  <c r="CT64" i="1" s="1"/>
  <c r="CW64" i="1" s="1"/>
  <c r="P64" i="1"/>
  <c r="S64" i="1" s="1"/>
  <c r="V64" i="1" s="1"/>
  <c r="Y64" i="1" s="1"/>
  <c r="AB64" i="1" s="1"/>
  <c r="AE64" i="1" s="1"/>
  <c r="AH64" i="1" s="1"/>
  <c r="AK64" i="1" s="1"/>
  <c r="AN64" i="1" s="1"/>
  <c r="AQ64" i="1" s="1"/>
  <c r="AT64" i="1" s="1"/>
  <c r="AW64" i="1" s="1"/>
  <c r="AZ64" i="1" s="1"/>
  <c r="BC64" i="1" s="1"/>
  <c r="BF64" i="1" s="1"/>
  <c r="BI64" i="1" s="1"/>
  <c r="BL64" i="1" s="1"/>
  <c r="BO64" i="1" s="1"/>
  <c r="BR64" i="1" s="1"/>
  <c r="BU64" i="1" s="1"/>
  <c r="BX64" i="1" s="1"/>
  <c r="CA64" i="1" s="1"/>
  <c r="CD64" i="1" s="1"/>
  <c r="CG64" i="1" s="1"/>
  <c r="CJ64" i="1" s="1"/>
  <c r="CM64" i="1" s="1"/>
  <c r="CP64" i="1" s="1"/>
  <c r="CS64" i="1" s="1"/>
  <c r="CV64" i="1" s="1"/>
  <c r="O64" i="1"/>
  <c r="DF31" i="1"/>
  <c r="AJ31" i="1"/>
  <c r="DE43" i="1"/>
  <c r="AG43" i="1"/>
  <c r="DF33" i="1"/>
  <c r="AJ33" i="1"/>
  <c r="AJ34" i="1"/>
  <c r="DF34" i="1"/>
  <c r="R63" i="1"/>
  <c r="CZ63" i="1"/>
  <c r="AG47" i="1"/>
  <c r="DE47" i="1"/>
  <c r="DD55" i="1"/>
  <c r="AD55" i="1"/>
  <c r="X37" i="1"/>
  <c r="DB37" i="1"/>
  <c r="AG44" i="1"/>
  <c r="DE44" i="1"/>
  <c r="K65" i="1"/>
  <c r="N65" i="1" s="1"/>
  <c r="K53" i="1"/>
  <c r="N53" i="1" s="1"/>
  <c r="K41" i="1"/>
  <c r="N41" i="1" s="1"/>
  <c r="H30" i="1"/>
  <c r="K29" i="1"/>
  <c r="N29" i="1" s="1"/>
  <c r="Q28" i="1"/>
  <c r="T28" i="1" s="1"/>
  <c r="W28" i="1" s="1"/>
  <c r="Z28" i="1" s="1"/>
  <c r="AC28" i="1" s="1"/>
  <c r="AF28" i="1" s="1"/>
  <c r="AI28" i="1" s="1"/>
  <c r="AL28" i="1" s="1"/>
  <c r="AO28" i="1" s="1"/>
  <c r="AR28" i="1" s="1"/>
  <c r="AU28" i="1" s="1"/>
  <c r="AX28" i="1" s="1"/>
  <c r="BA28" i="1" s="1"/>
  <c r="BD28" i="1" s="1"/>
  <c r="BG28" i="1" s="1"/>
  <c r="BJ28" i="1" s="1"/>
  <c r="BM28" i="1" s="1"/>
  <c r="BP28" i="1" s="1"/>
  <c r="BS28" i="1" s="1"/>
  <c r="BV28" i="1" s="1"/>
  <c r="BY28" i="1" s="1"/>
  <c r="CB28" i="1" s="1"/>
  <c r="CE28" i="1" s="1"/>
  <c r="CH28" i="1" s="1"/>
  <c r="CK28" i="1" s="1"/>
  <c r="CN28" i="1" s="1"/>
  <c r="CQ28" i="1" s="1"/>
  <c r="CT28" i="1" s="1"/>
  <c r="CW28" i="1" s="1"/>
  <c r="O28" i="1"/>
  <c r="P28" i="1"/>
  <c r="DD56" i="1"/>
  <c r="AD56" i="1"/>
  <c r="DA26" i="1"/>
  <c r="U26" i="1"/>
  <c r="AD57" i="1"/>
  <c r="DD57" i="1"/>
  <c r="X25" i="1"/>
  <c r="DB25" i="1"/>
  <c r="DE46" i="1"/>
  <c r="AG46" i="1"/>
  <c r="CZ51" i="1"/>
  <c r="R51" i="1"/>
  <c r="AM21" i="1"/>
  <c r="DG21" i="1"/>
  <c r="AG22" i="1"/>
  <c r="DE22" i="1"/>
  <c r="AP19" i="1"/>
  <c r="DH19" i="1"/>
  <c r="DB61" i="1"/>
  <c r="X61" i="1"/>
  <c r="DC36" i="1"/>
  <c r="AA36" i="1"/>
  <c r="DC48" i="1"/>
  <c r="AA48" i="1"/>
  <c r="DF32" i="1"/>
  <c r="AJ32" i="1"/>
  <c r="R27" i="1"/>
  <c r="CZ27" i="1"/>
  <c r="DA38" i="1"/>
  <c r="U38" i="1"/>
  <c r="X49" i="1"/>
  <c r="DB49" i="1"/>
  <c r="DA50" i="1"/>
  <c r="U50" i="1"/>
  <c r="U62" i="1"/>
  <c r="DA62" i="1"/>
  <c r="Q52" i="1"/>
  <c r="T52" i="1" s="1"/>
  <c r="W52" i="1" s="1"/>
  <c r="Z52" i="1" s="1"/>
  <c r="AC52" i="1" s="1"/>
  <c r="AF52" i="1" s="1"/>
  <c r="AI52" i="1" s="1"/>
  <c r="AL52" i="1" s="1"/>
  <c r="AO52" i="1" s="1"/>
  <c r="AR52" i="1" s="1"/>
  <c r="AU52" i="1" s="1"/>
  <c r="AX52" i="1" s="1"/>
  <c r="BA52" i="1" s="1"/>
  <c r="BD52" i="1" s="1"/>
  <c r="BG52" i="1" s="1"/>
  <c r="BJ52" i="1" s="1"/>
  <c r="BM52" i="1" s="1"/>
  <c r="BP52" i="1" s="1"/>
  <c r="BS52" i="1" s="1"/>
  <c r="BV52" i="1" s="1"/>
  <c r="BY52" i="1" s="1"/>
  <c r="CB52" i="1" s="1"/>
  <c r="CE52" i="1" s="1"/>
  <c r="CH52" i="1" s="1"/>
  <c r="CK52" i="1" s="1"/>
  <c r="CN52" i="1" s="1"/>
  <c r="CQ52" i="1" s="1"/>
  <c r="CT52" i="1" s="1"/>
  <c r="CW52" i="1" s="1"/>
  <c r="O52" i="1"/>
  <c r="P52" i="1"/>
  <c r="S52" i="1" s="1"/>
  <c r="V52" i="1" s="1"/>
  <c r="Y52" i="1" s="1"/>
  <c r="AB52" i="1" s="1"/>
  <c r="AE52" i="1" s="1"/>
  <c r="AH52" i="1" s="1"/>
  <c r="AK52" i="1" s="1"/>
  <c r="AN52" i="1" s="1"/>
  <c r="AQ52" i="1" s="1"/>
  <c r="AT52" i="1" s="1"/>
  <c r="AW52" i="1" s="1"/>
  <c r="AZ52" i="1" s="1"/>
  <c r="BC52" i="1" s="1"/>
  <c r="BF52" i="1" s="1"/>
  <c r="BI52" i="1" s="1"/>
  <c r="BL52" i="1" s="1"/>
  <c r="BO52" i="1" s="1"/>
  <c r="BR52" i="1" s="1"/>
  <c r="BU52" i="1" s="1"/>
  <c r="BX52" i="1" s="1"/>
  <c r="CA52" i="1" s="1"/>
  <c r="CD52" i="1" s="1"/>
  <c r="CG52" i="1" s="1"/>
  <c r="CJ52" i="1" s="1"/>
  <c r="CM52" i="1" s="1"/>
  <c r="CP52" i="1" s="1"/>
  <c r="CS52" i="1" s="1"/>
  <c r="CV52" i="1" s="1"/>
  <c r="AM20" i="1"/>
  <c r="DG20" i="1"/>
  <c r="DE45" i="1"/>
  <c r="AG45" i="1"/>
  <c r="CZ39" i="1"/>
  <c r="R39" i="1"/>
  <c r="AA24" i="1"/>
  <c r="DC24" i="1"/>
  <c r="DD58" i="1"/>
  <c r="AD58" i="1"/>
  <c r="AD35" i="1"/>
  <c r="DD35" i="1"/>
  <c r="DD23" i="1"/>
  <c r="AD23" i="1"/>
  <c r="DB50" i="1" l="1"/>
  <c r="X50" i="1"/>
  <c r="AJ43" i="1"/>
  <c r="DF43" i="1"/>
  <c r="AG59" i="1"/>
  <c r="DE59" i="1"/>
  <c r="DE23" i="1"/>
  <c r="AG23" i="1"/>
  <c r="AJ45" i="1"/>
  <c r="DF45" i="1"/>
  <c r="DD36" i="1"/>
  <c r="AD36" i="1"/>
  <c r="X26" i="1"/>
  <c r="DB26" i="1"/>
  <c r="K66" i="1"/>
  <c r="N66" i="1" s="1"/>
  <c r="K54" i="1"/>
  <c r="N54" i="1" s="1"/>
  <c r="K42" i="1"/>
  <c r="N42" i="1" s="1"/>
  <c r="K30" i="1"/>
  <c r="N30" i="1" s="1"/>
  <c r="DB38" i="1"/>
  <c r="X38" i="1"/>
  <c r="Q41" i="1"/>
  <c r="T41" i="1" s="1"/>
  <c r="W41" i="1" s="1"/>
  <c r="Z41" i="1" s="1"/>
  <c r="AC41" i="1" s="1"/>
  <c r="AF41" i="1" s="1"/>
  <c r="AI41" i="1" s="1"/>
  <c r="AL41" i="1" s="1"/>
  <c r="AO41" i="1" s="1"/>
  <c r="AR41" i="1" s="1"/>
  <c r="AU41" i="1" s="1"/>
  <c r="AX41" i="1" s="1"/>
  <c r="BA41" i="1" s="1"/>
  <c r="BD41" i="1" s="1"/>
  <c r="BG41" i="1" s="1"/>
  <c r="BJ41" i="1" s="1"/>
  <c r="BM41" i="1" s="1"/>
  <c r="BP41" i="1" s="1"/>
  <c r="BS41" i="1" s="1"/>
  <c r="BV41" i="1" s="1"/>
  <c r="BY41" i="1" s="1"/>
  <c r="CB41" i="1" s="1"/>
  <c r="CE41" i="1" s="1"/>
  <c r="CH41" i="1" s="1"/>
  <c r="CK41" i="1" s="1"/>
  <c r="CN41" i="1" s="1"/>
  <c r="CQ41" i="1" s="1"/>
  <c r="CT41" i="1" s="1"/>
  <c r="CW41" i="1" s="1"/>
  <c r="O41" i="1"/>
  <c r="P41" i="1"/>
  <c r="S41" i="1" s="1"/>
  <c r="V41" i="1" s="1"/>
  <c r="Y41" i="1" s="1"/>
  <c r="AB41" i="1" s="1"/>
  <c r="AE41" i="1" s="1"/>
  <c r="AH41" i="1" s="1"/>
  <c r="AK41" i="1" s="1"/>
  <c r="AN41" i="1" s="1"/>
  <c r="AQ41" i="1" s="1"/>
  <c r="AT41" i="1" s="1"/>
  <c r="AW41" i="1" s="1"/>
  <c r="AZ41" i="1" s="1"/>
  <c r="BC41" i="1" s="1"/>
  <c r="BF41" i="1" s="1"/>
  <c r="BI41" i="1" s="1"/>
  <c r="BL41" i="1" s="1"/>
  <c r="BO41" i="1" s="1"/>
  <c r="BR41" i="1" s="1"/>
  <c r="BU41" i="1" s="1"/>
  <c r="BX41" i="1" s="1"/>
  <c r="CA41" i="1" s="1"/>
  <c r="CD41" i="1" s="1"/>
  <c r="CG41" i="1" s="1"/>
  <c r="CJ41" i="1" s="1"/>
  <c r="CM41" i="1" s="1"/>
  <c r="CP41" i="1" s="1"/>
  <c r="CS41" i="1" s="1"/>
  <c r="CV41" i="1" s="1"/>
  <c r="AJ47" i="1"/>
  <c r="DF47" i="1"/>
  <c r="CZ64" i="1"/>
  <c r="R64" i="1"/>
  <c r="DG33" i="1"/>
  <c r="AM33" i="1"/>
  <c r="DD48" i="1"/>
  <c r="AD48" i="1"/>
  <c r="DE57" i="1"/>
  <c r="AG57" i="1"/>
  <c r="AA61" i="1"/>
  <c r="DC61" i="1"/>
  <c r="U51" i="1"/>
  <c r="DA51" i="1"/>
  <c r="Q53" i="1"/>
  <c r="T53" i="1" s="1"/>
  <c r="W53" i="1" s="1"/>
  <c r="Z53" i="1" s="1"/>
  <c r="AC53" i="1" s="1"/>
  <c r="AF53" i="1" s="1"/>
  <c r="AI53" i="1" s="1"/>
  <c r="AL53" i="1" s="1"/>
  <c r="AO53" i="1" s="1"/>
  <c r="AR53" i="1" s="1"/>
  <c r="AU53" i="1" s="1"/>
  <c r="AX53" i="1" s="1"/>
  <c r="BA53" i="1" s="1"/>
  <c r="BD53" i="1" s="1"/>
  <c r="BG53" i="1" s="1"/>
  <c r="BJ53" i="1" s="1"/>
  <c r="BM53" i="1" s="1"/>
  <c r="BP53" i="1" s="1"/>
  <c r="BS53" i="1" s="1"/>
  <c r="BV53" i="1" s="1"/>
  <c r="BY53" i="1" s="1"/>
  <c r="CB53" i="1" s="1"/>
  <c r="CE53" i="1" s="1"/>
  <c r="CH53" i="1" s="1"/>
  <c r="CK53" i="1" s="1"/>
  <c r="CN53" i="1" s="1"/>
  <c r="CQ53" i="1" s="1"/>
  <c r="CT53" i="1" s="1"/>
  <c r="CW53" i="1" s="1"/>
  <c r="O53" i="1"/>
  <c r="P53" i="1"/>
  <c r="S53" i="1" s="1"/>
  <c r="V53" i="1" s="1"/>
  <c r="Y53" i="1" s="1"/>
  <c r="AB53" i="1" s="1"/>
  <c r="AE53" i="1" s="1"/>
  <c r="AH53" i="1" s="1"/>
  <c r="AK53" i="1" s="1"/>
  <c r="AN53" i="1" s="1"/>
  <c r="AQ53" i="1" s="1"/>
  <c r="AT53" i="1" s="1"/>
  <c r="AW53" i="1" s="1"/>
  <c r="AZ53" i="1" s="1"/>
  <c r="BC53" i="1" s="1"/>
  <c r="BF53" i="1" s="1"/>
  <c r="BI53" i="1" s="1"/>
  <c r="BL53" i="1" s="1"/>
  <c r="BO53" i="1" s="1"/>
  <c r="BR53" i="1" s="1"/>
  <c r="BU53" i="1" s="1"/>
  <c r="BX53" i="1" s="1"/>
  <c r="CA53" i="1" s="1"/>
  <c r="CD53" i="1" s="1"/>
  <c r="CG53" i="1" s="1"/>
  <c r="CJ53" i="1" s="1"/>
  <c r="CM53" i="1" s="1"/>
  <c r="CP53" i="1" s="1"/>
  <c r="CS53" i="1" s="1"/>
  <c r="CV53" i="1" s="1"/>
  <c r="DB62" i="1"/>
  <c r="X62" i="1"/>
  <c r="DC25" i="1"/>
  <c r="AA25" i="1"/>
  <c r="U39" i="1"/>
  <c r="DA39" i="1"/>
  <c r="DE55" i="1"/>
  <c r="AG55" i="1"/>
  <c r="DG31" i="1"/>
  <c r="AM31" i="1"/>
  <c r="DE35" i="1"/>
  <c r="AG35" i="1"/>
  <c r="AP20" i="1"/>
  <c r="DH20" i="1"/>
  <c r="AG56" i="1"/>
  <c r="DE56" i="1"/>
  <c r="Q65" i="1"/>
  <c r="T65" i="1" s="1"/>
  <c r="W65" i="1" s="1"/>
  <c r="Z65" i="1" s="1"/>
  <c r="AC65" i="1" s="1"/>
  <c r="AF65" i="1" s="1"/>
  <c r="AI65" i="1" s="1"/>
  <c r="AL65" i="1" s="1"/>
  <c r="AO65" i="1" s="1"/>
  <c r="AR65" i="1" s="1"/>
  <c r="AU65" i="1" s="1"/>
  <c r="AX65" i="1" s="1"/>
  <c r="BA65" i="1" s="1"/>
  <c r="BD65" i="1" s="1"/>
  <c r="BG65" i="1" s="1"/>
  <c r="BJ65" i="1" s="1"/>
  <c r="BM65" i="1" s="1"/>
  <c r="BP65" i="1" s="1"/>
  <c r="BS65" i="1" s="1"/>
  <c r="BV65" i="1" s="1"/>
  <c r="BY65" i="1" s="1"/>
  <c r="CB65" i="1" s="1"/>
  <c r="CE65" i="1" s="1"/>
  <c r="CH65" i="1" s="1"/>
  <c r="CK65" i="1" s="1"/>
  <c r="CN65" i="1" s="1"/>
  <c r="CQ65" i="1" s="1"/>
  <c r="CT65" i="1" s="1"/>
  <c r="CW65" i="1" s="1"/>
  <c r="P65" i="1"/>
  <c r="S65" i="1" s="1"/>
  <c r="V65" i="1" s="1"/>
  <c r="Y65" i="1" s="1"/>
  <c r="AB65" i="1" s="1"/>
  <c r="AE65" i="1" s="1"/>
  <c r="AH65" i="1" s="1"/>
  <c r="AK65" i="1" s="1"/>
  <c r="AN65" i="1" s="1"/>
  <c r="AQ65" i="1" s="1"/>
  <c r="AT65" i="1" s="1"/>
  <c r="AW65" i="1" s="1"/>
  <c r="AZ65" i="1" s="1"/>
  <c r="BC65" i="1" s="1"/>
  <c r="BF65" i="1" s="1"/>
  <c r="BI65" i="1" s="1"/>
  <c r="BL65" i="1" s="1"/>
  <c r="BO65" i="1" s="1"/>
  <c r="BR65" i="1" s="1"/>
  <c r="BU65" i="1" s="1"/>
  <c r="BX65" i="1" s="1"/>
  <c r="CA65" i="1" s="1"/>
  <c r="CD65" i="1" s="1"/>
  <c r="CG65" i="1" s="1"/>
  <c r="CJ65" i="1" s="1"/>
  <c r="CM65" i="1" s="1"/>
  <c r="CP65" i="1" s="1"/>
  <c r="CS65" i="1" s="1"/>
  <c r="CV65" i="1" s="1"/>
  <c r="O65" i="1"/>
  <c r="DA63" i="1"/>
  <c r="U63" i="1"/>
  <c r="DC37" i="1"/>
  <c r="AA37" i="1"/>
  <c r="DE58" i="1"/>
  <c r="AG58" i="1"/>
  <c r="U27" i="1"/>
  <c r="DA27" i="1"/>
  <c r="DE60" i="1"/>
  <c r="AG60" i="1"/>
  <c r="DD24" i="1"/>
  <c r="AD24" i="1"/>
  <c r="DF22" i="1"/>
  <c r="AJ22" i="1"/>
  <c r="CZ28" i="1"/>
  <c r="R28" i="1"/>
  <c r="CZ40" i="1"/>
  <c r="R40" i="1"/>
  <c r="DH21" i="1"/>
  <c r="AP21" i="1"/>
  <c r="AA49" i="1"/>
  <c r="DC49" i="1"/>
  <c r="CZ52" i="1"/>
  <c r="R52" i="1"/>
  <c r="AM32" i="1"/>
  <c r="DG32" i="1"/>
  <c r="DI19" i="1"/>
  <c r="AS19" i="1"/>
  <c r="Q29" i="1"/>
  <c r="T29" i="1" s="1"/>
  <c r="W29" i="1" s="1"/>
  <c r="Z29" i="1" s="1"/>
  <c r="AC29" i="1" s="1"/>
  <c r="AF29" i="1" s="1"/>
  <c r="AI29" i="1" s="1"/>
  <c r="AL29" i="1" s="1"/>
  <c r="AO29" i="1" s="1"/>
  <c r="AR29" i="1" s="1"/>
  <c r="AU29" i="1" s="1"/>
  <c r="AX29" i="1" s="1"/>
  <c r="BA29" i="1" s="1"/>
  <c r="BD29" i="1" s="1"/>
  <c r="BG29" i="1" s="1"/>
  <c r="BJ29" i="1" s="1"/>
  <c r="BM29" i="1" s="1"/>
  <c r="BP29" i="1" s="1"/>
  <c r="BS29" i="1" s="1"/>
  <c r="BV29" i="1" s="1"/>
  <c r="BY29" i="1" s="1"/>
  <c r="CB29" i="1" s="1"/>
  <c r="CE29" i="1" s="1"/>
  <c r="CH29" i="1" s="1"/>
  <c r="CK29" i="1" s="1"/>
  <c r="CN29" i="1" s="1"/>
  <c r="CQ29" i="1" s="1"/>
  <c r="CT29" i="1" s="1"/>
  <c r="CW29" i="1" s="1"/>
  <c r="O29" i="1"/>
  <c r="P29" i="1"/>
  <c r="DF46" i="1"/>
  <c r="AJ46" i="1"/>
  <c r="S28" i="1"/>
  <c r="V28" i="1" s="1"/>
  <c r="Y28" i="1" s="1"/>
  <c r="AB28" i="1" s="1"/>
  <c r="AE28" i="1" s="1"/>
  <c r="AH28" i="1" s="1"/>
  <c r="AK28" i="1" s="1"/>
  <c r="AN28" i="1" s="1"/>
  <c r="AQ28" i="1" s="1"/>
  <c r="AT28" i="1" s="1"/>
  <c r="AW28" i="1" s="1"/>
  <c r="AZ28" i="1" s="1"/>
  <c r="BC28" i="1" s="1"/>
  <c r="BF28" i="1" s="1"/>
  <c r="BI28" i="1" s="1"/>
  <c r="BL28" i="1" s="1"/>
  <c r="BO28" i="1" s="1"/>
  <c r="BR28" i="1" s="1"/>
  <c r="BU28" i="1" s="1"/>
  <c r="BX28" i="1" s="1"/>
  <c r="CA28" i="1" s="1"/>
  <c r="CD28" i="1" s="1"/>
  <c r="CG28" i="1" s="1"/>
  <c r="CJ28" i="1" s="1"/>
  <c r="CM28" i="1" s="1"/>
  <c r="CP28" i="1" s="1"/>
  <c r="CS28" i="1" s="1"/>
  <c r="CV28" i="1" s="1"/>
  <c r="AJ44" i="1"/>
  <c r="DF44" i="1"/>
  <c r="DG34" i="1"/>
  <c r="AM34" i="1"/>
  <c r="S40" i="1"/>
  <c r="V40" i="1" s="1"/>
  <c r="Y40" i="1" s="1"/>
  <c r="AB40" i="1" s="1"/>
  <c r="AE40" i="1" s="1"/>
  <c r="AH40" i="1" s="1"/>
  <c r="AK40" i="1" s="1"/>
  <c r="AN40" i="1" s="1"/>
  <c r="AQ40" i="1" s="1"/>
  <c r="AT40" i="1" s="1"/>
  <c r="AW40" i="1" s="1"/>
  <c r="AZ40" i="1" s="1"/>
  <c r="BC40" i="1" s="1"/>
  <c r="BF40" i="1" s="1"/>
  <c r="BI40" i="1" s="1"/>
  <c r="BL40" i="1" s="1"/>
  <c r="BO40" i="1" s="1"/>
  <c r="BR40" i="1" s="1"/>
  <c r="BU40" i="1" s="1"/>
  <c r="BX40" i="1" s="1"/>
  <c r="CA40" i="1" s="1"/>
  <c r="CD40" i="1" s="1"/>
  <c r="CG40" i="1" s="1"/>
  <c r="CJ40" i="1" s="1"/>
  <c r="CM40" i="1" s="1"/>
  <c r="CP40" i="1" s="1"/>
  <c r="CS40" i="1" s="1"/>
  <c r="CV40" i="1" s="1"/>
  <c r="DA64" i="1" l="1"/>
  <c r="U64" i="1"/>
  <c r="AS21" i="1"/>
  <c r="DI21" i="1"/>
  <c r="DI20" i="1"/>
  <c r="AS20" i="1"/>
  <c r="AM43" i="1"/>
  <c r="DG43" i="1"/>
  <c r="DH32" i="1"/>
  <c r="AP32" i="1"/>
  <c r="DF57" i="1"/>
  <c r="AJ57" i="1"/>
  <c r="DA52" i="1"/>
  <c r="U52" i="1"/>
  <c r="AJ58" i="1"/>
  <c r="DF58" i="1"/>
  <c r="AM44" i="1"/>
  <c r="DG44" i="1"/>
  <c r="U28" i="1"/>
  <c r="DA28" i="1"/>
  <c r="AJ56" i="1"/>
  <c r="DF56" i="1"/>
  <c r="R41" i="1"/>
  <c r="CZ41" i="1"/>
  <c r="DF35" i="1"/>
  <c r="AJ35" i="1"/>
  <c r="AA26" i="1"/>
  <c r="DC26" i="1"/>
  <c r="DA40" i="1"/>
  <c r="U40" i="1"/>
  <c r="AM47" i="1"/>
  <c r="DG47" i="1"/>
  <c r="DH31" i="1"/>
  <c r="AP31" i="1"/>
  <c r="DE48" i="1"/>
  <c r="AG48" i="1"/>
  <c r="DG45" i="1"/>
  <c r="AM45" i="1"/>
  <c r="X63" i="1"/>
  <c r="DB63" i="1"/>
  <c r="X51" i="1"/>
  <c r="DB51" i="1"/>
  <c r="DJ19" i="1"/>
  <c r="AV19" i="1"/>
  <c r="Q66" i="1"/>
  <c r="T66" i="1" s="1"/>
  <c r="W66" i="1" s="1"/>
  <c r="Z66" i="1" s="1"/>
  <c r="AC66" i="1" s="1"/>
  <c r="AF66" i="1" s="1"/>
  <c r="AI66" i="1" s="1"/>
  <c r="AL66" i="1" s="1"/>
  <c r="AO66" i="1" s="1"/>
  <c r="AR66" i="1" s="1"/>
  <c r="AU66" i="1" s="1"/>
  <c r="AX66" i="1" s="1"/>
  <c r="BA66" i="1" s="1"/>
  <c r="BD66" i="1" s="1"/>
  <c r="BG66" i="1" s="1"/>
  <c r="BJ66" i="1" s="1"/>
  <c r="BM66" i="1" s="1"/>
  <c r="BP66" i="1" s="1"/>
  <c r="BS66" i="1" s="1"/>
  <c r="BV66" i="1" s="1"/>
  <c r="BY66" i="1" s="1"/>
  <c r="CB66" i="1" s="1"/>
  <c r="CE66" i="1" s="1"/>
  <c r="CH66" i="1" s="1"/>
  <c r="CK66" i="1" s="1"/>
  <c r="CN66" i="1" s="1"/>
  <c r="CQ66" i="1" s="1"/>
  <c r="CT66" i="1" s="1"/>
  <c r="CW66" i="1" s="1"/>
  <c r="P66" i="1"/>
  <c r="S66" i="1" s="1"/>
  <c r="V66" i="1" s="1"/>
  <c r="Y66" i="1" s="1"/>
  <c r="AB66" i="1" s="1"/>
  <c r="AE66" i="1" s="1"/>
  <c r="AH66" i="1" s="1"/>
  <c r="AK66" i="1" s="1"/>
  <c r="AN66" i="1" s="1"/>
  <c r="AQ66" i="1" s="1"/>
  <c r="AT66" i="1" s="1"/>
  <c r="AW66" i="1" s="1"/>
  <c r="AZ66" i="1" s="1"/>
  <c r="BC66" i="1" s="1"/>
  <c r="BF66" i="1" s="1"/>
  <c r="BI66" i="1" s="1"/>
  <c r="BL66" i="1" s="1"/>
  <c r="BO66" i="1" s="1"/>
  <c r="BR66" i="1" s="1"/>
  <c r="BU66" i="1" s="1"/>
  <c r="BX66" i="1" s="1"/>
  <c r="CA66" i="1" s="1"/>
  <c r="CD66" i="1" s="1"/>
  <c r="CG66" i="1" s="1"/>
  <c r="CJ66" i="1" s="1"/>
  <c r="CM66" i="1" s="1"/>
  <c r="CP66" i="1" s="1"/>
  <c r="CS66" i="1" s="1"/>
  <c r="CV66" i="1" s="1"/>
  <c r="O66" i="1"/>
  <c r="DH34" i="1"/>
  <c r="AP34" i="1"/>
  <c r="AM46" i="1"/>
  <c r="DG46" i="1"/>
  <c r="AM22" i="1"/>
  <c r="DG22" i="1"/>
  <c r="CZ53" i="1"/>
  <c r="R53" i="1"/>
  <c r="AA38" i="1"/>
  <c r="DC38" i="1"/>
  <c r="DF23" i="1"/>
  <c r="AJ23" i="1"/>
  <c r="Q54" i="1"/>
  <c r="T54" i="1" s="1"/>
  <c r="W54" i="1" s="1"/>
  <c r="Z54" i="1" s="1"/>
  <c r="AC54" i="1" s="1"/>
  <c r="AF54" i="1" s="1"/>
  <c r="AI54" i="1" s="1"/>
  <c r="AL54" i="1" s="1"/>
  <c r="AO54" i="1" s="1"/>
  <c r="AR54" i="1" s="1"/>
  <c r="AU54" i="1" s="1"/>
  <c r="AX54" i="1" s="1"/>
  <c r="BA54" i="1" s="1"/>
  <c r="BD54" i="1" s="1"/>
  <c r="BG54" i="1" s="1"/>
  <c r="BJ54" i="1" s="1"/>
  <c r="BM54" i="1" s="1"/>
  <c r="BP54" i="1" s="1"/>
  <c r="BS54" i="1" s="1"/>
  <c r="BV54" i="1" s="1"/>
  <c r="BY54" i="1" s="1"/>
  <c r="CB54" i="1" s="1"/>
  <c r="CE54" i="1" s="1"/>
  <c r="CH54" i="1" s="1"/>
  <c r="CK54" i="1" s="1"/>
  <c r="CN54" i="1" s="1"/>
  <c r="CQ54" i="1" s="1"/>
  <c r="CT54" i="1" s="1"/>
  <c r="CW54" i="1" s="1"/>
  <c r="P54" i="1"/>
  <c r="S54" i="1" s="1"/>
  <c r="V54" i="1" s="1"/>
  <c r="Y54" i="1" s="1"/>
  <c r="AB54" i="1" s="1"/>
  <c r="AE54" i="1" s="1"/>
  <c r="AH54" i="1" s="1"/>
  <c r="AK54" i="1" s="1"/>
  <c r="AN54" i="1" s="1"/>
  <c r="AQ54" i="1" s="1"/>
  <c r="AT54" i="1" s="1"/>
  <c r="AW54" i="1" s="1"/>
  <c r="AZ54" i="1" s="1"/>
  <c r="BC54" i="1" s="1"/>
  <c r="BF54" i="1" s="1"/>
  <c r="BI54" i="1" s="1"/>
  <c r="BL54" i="1" s="1"/>
  <c r="BO54" i="1" s="1"/>
  <c r="BR54" i="1" s="1"/>
  <c r="BU54" i="1" s="1"/>
  <c r="BX54" i="1" s="1"/>
  <c r="CA54" i="1" s="1"/>
  <c r="CD54" i="1" s="1"/>
  <c r="CG54" i="1" s="1"/>
  <c r="CJ54" i="1" s="1"/>
  <c r="CM54" i="1" s="1"/>
  <c r="CP54" i="1" s="1"/>
  <c r="CS54" i="1" s="1"/>
  <c r="CV54" i="1" s="1"/>
  <c r="O54" i="1"/>
  <c r="DD49" i="1"/>
  <c r="AD49" i="1"/>
  <c r="DF60" i="1"/>
  <c r="AJ60" i="1"/>
  <c r="DC62" i="1"/>
  <c r="AA62" i="1"/>
  <c r="DC50" i="1"/>
  <c r="AA50" i="1"/>
  <c r="DB27" i="1"/>
  <c r="X27" i="1"/>
  <c r="DE36" i="1"/>
  <c r="AG36" i="1"/>
  <c r="S29" i="1"/>
  <c r="V29" i="1" s="1"/>
  <c r="Y29" i="1" s="1"/>
  <c r="AB29" i="1" s="1"/>
  <c r="AE29" i="1" s="1"/>
  <c r="AH29" i="1" s="1"/>
  <c r="AK29" i="1" s="1"/>
  <c r="AN29" i="1" s="1"/>
  <c r="AQ29" i="1" s="1"/>
  <c r="AT29" i="1" s="1"/>
  <c r="AW29" i="1" s="1"/>
  <c r="AZ29" i="1" s="1"/>
  <c r="BC29" i="1" s="1"/>
  <c r="BF29" i="1" s="1"/>
  <c r="BI29" i="1" s="1"/>
  <c r="BL29" i="1" s="1"/>
  <c r="BO29" i="1" s="1"/>
  <c r="BR29" i="1" s="1"/>
  <c r="BU29" i="1" s="1"/>
  <c r="BX29" i="1" s="1"/>
  <c r="CA29" i="1" s="1"/>
  <c r="CD29" i="1" s="1"/>
  <c r="CG29" i="1" s="1"/>
  <c r="CJ29" i="1" s="1"/>
  <c r="CM29" i="1" s="1"/>
  <c r="CP29" i="1" s="1"/>
  <c r="CS29" i="1" s="1"/>
  <c r="CV29" i="1" s="1"/>
  <c r="AG24" i="1"/>
  <c r="DE24" i="1"/>
  <c r="DD37" i="1"/>
  <c r="AD37" i="1"/>
  <c r="X39" i="1"/>
  <c r="DB39" i="1"/>
  <c r="Q30" i="1"/>
  <c r="T30" i="1" s="1"/>
  <c r="W30" i="1" s="1"/>
  <c r="Z30" i="1" s="1"/>
  <c r="AC30" i="1" s="1"/>
  <c r="AF30" i="1" s="1"/>
  <c r="AI30" i="1" s="1"/>
  <c r="AL30" i="1" s="1"/>
  <c r="AO30" i="1" s="1"/>
  <c r="AR30" i="1" s="1"/>
  <c r="AU30" i="1" s="1"/>
  <c r="AX30" i="1" s="1"/>
  <c r="BA30" i="1" s="1"/>
  <c r="BD30" i="1" s="1"/>
  <c r="BG30" i="1" s="1"/>
  <c r="BJ30" i="1" s="1"/>
  <c r="BM30" i="1" s="1"/>
  <c r="BP30" i="1" s="1"/>
  <c r="BS30" i="1" s="1"/>
  <c r="BV30" i="1" s="1"/>
  <c r="BY30" i="1" s="1"/>
  <c r="CB30" i="1" s="1"/>
  <c r="CE30" i="1" s="1"/>
  <c r="CH30" i="1" s="1"/>
  <c r="CK30" i="1" s="1"/>
  <c r="CN30" i="1" s="1"/>
  <c r="CQ30" i="1" s="1"/>
  <c r="CT30" i="1" s="1"/>
  <c r="CW30" i="1" s="1"/>
  <c r="P30" i="1"/>
  <c r="S30" i="1" s="1"/>
  <c r="V30" i="1" s="1"/>
  <c r="Y30" i="1" s="1"/>
  <c r="AB30" i="1" s="1"/>
  <c r="AE30" i="1" s="1"/>
  <c r="AH30" i="1" s="1"/>
  <c r="AK30" i="1" s="1"/>
  <c r="AN30" i="1" s="1"/>
  <c r="AQ30" i="1" s="1"/>
  <c r="AT30" i="1" s="1"/>
  <c r="AW30" i="1" s="1"/>
  <c r="AZ30" i="1" s="1"/>
  <c r="BC30" i="1" s="1"/>
  <c r="BF30" i="1" s="1"/>
  <c r="BI30" i="1" s="1"/>
  <c r="BL30" i="1" s="1"/>
  <c r="BO30" i="1" s="1"/>
  <c r="BR30" i="1" s="1"/>
  <c r="BU30" i="1" s="1"/>
  <c r="BX30" i="1" s="1"/>
  <c r="CA30" i="1" s="1"/>
  <c r="CD30" i="1" s="1"/>
  <c r="CG30" i="1" s="1"/>
  <c r="CJ30" i="1" s="1"/>
  <c r="CM30" i="1" s="1"/>
  <c r="CP30" i="1" s="1"/>
  <c r="CS30" i="1" s="1"/>
  <c r="CV30" i="1" s="1"/>
  <c r="O30" i="1"/>
  <c r="R65" i="1"/>
  <c r="CZ65" i="1"/>
  <c r="AD61" i="1"/>
  <c r="DD61" i="1"/>
  <c r="AJ55" i="1"/>
  <c r="DF55" i="1"/>
  <c r="CZ29" i="1"/>
  <c r="R29" i="1"/>
  <c r="AD25" i="1"/>
  <c r="DD25" i="1"/>
  <c r="DH33" i="1"/>
  <c r="AP33" i="1"/>
  <c r="Q42" i="1"/>
  <c r="T42" i="1" s="1"/>
  <c r="W42" i="1" s="1"/>
  <c r="Z42" i="1" s="1"/>
  <c r="AC42" i="1" s="1"/>
  <c r="AF42" i="1" s="1"/>
  <c r="AI42" i="1" s="1"/>
  <c r="AL42" i="1" s="1"/>
  <c r="AO42" i="1" s="1"/>
  <c r="AR42" i="1" s="1"/>
  <c r="AU42" i="1" s="1"/>
  <c r="AX42" i="1" s="1"/>
  <c r="BA42" i="1" s="1"/>
  <c r="BD42" i="1" s="1"/>
  <c r="BG42" i="1" s="1"/>
  <c r="BJ42" i="1" s="1"/>
  <c r="BM42" i="1" s="1"/>
  <c r="BP42" i="1" s="1"/>
  <c r="BS42" i="1" s="1"/>
  <c r="BV42" i="1" s="1"/>
  <c r="BY42" i="1" s="1"/>
  <c r="CB42" i="1" s="1"/>
  <c r="CE42" i="1" s="1"/>
  <c r="CH42" i="1" s="1"/>
  <c r="CK42" i="1" s="1"/>
  <c r="CN42" i="1" s="1"/>
  <c r="CQ42" i="1" s="1"/>
  <c r="CT42" i="1" s="1"/>
  <c r="CW42" i="1" s="1"/>
  <c r="P42" i="1"/>
  <c r="S42" i="1" s="1"/>
  <c r="V42" i="1" s="1"/>
  <c r="Y42" i="1" s="1"/>
  <c r="AB42" i="1" s="1"/>
  <c r="AE42" i="1" s="1"/>
  <c r="AH42" i="1" s="1"/>
  <c r="AK42" i="1" s="1"/>
  <c r="AN42" i="1" s="1"/>
  <c r="AQ42" i="1" s="1"/>
  <c r="AT42" i="1" s="1"/>
  <c r="AW42" i="1" s="1"/>
  <c r="AZ42" i="1" s="1"/>
  <c r="BC42" i="1" s="1"/>
  <c r="BF42" i="1" s="1"/>
  <c r="BI42" i="1" s="1"/>
  <c r="BL42" i="1" s="1"/>
  <c r="BO42" i="1" s="1"/>
  <c r="BR42" i="1" s="1"/>
  <c r="BU42" i="1" s="1"/>
  <c r="BX42" i="1" s="1"/>
  <c r="CA42" i="1" s="1"/>
  <c r="CD42" i="1" s="1"/>
  <c r="CG42" i="1" s="1"/>
  <c r="CJ42" i="1" s="1"/>
  <c r="CM42" i="1" s="1"/>
  <c r="CP42" i="1" s="1"/>
  <c r="CS42" i="1" s="1"/>
  <c r="CV42" i="1" s="1"/>
  <c r="O42" i="1"/>
  <c r="AJ59" i="1"/>
  <c r="DF59" i="1"/>
  <c r="AV21" i="1" l="1"/>
  <c r="DJ21" i="1"/>
  <c r="DD62" i="1"/>
  <c r="AD62" i="1"/>
  <c r="X52" i="1"/>
  <c r="DB52" i="1"/>
  <c r="R42" i="1"/>
  <c r="CZ42" i="1"/>
  <c r="AG61" i="1"/>
  <c r="DE61" i="1"/>
  <c r="DH22" i="1"/>
  <c r="AP22" i="1"/>
  <c r="X40" i="1"/>
  <c r="DB40" i="1"/>
  <c r="X28" i="1"/>
  <c r="DB28" i="1"/>
  <c r="DI32" i="1"/>
  <c r="AS32" i="1"/>
  <c r="DE49" i="1"/>
  <c r="AG49" i="1"/>
  <c r="AG37" i="1"/>
  <c r="DE37" i="1"/>
  <c r="AD38" i="1"/>
  <c r="DD38" i="1"/>
  <c r="DG55" i="1"/>
  <c r="AM55" i="1"/>
  <c r="DK19" i="1"/>
  <c r="AY19" i="1"/>
  <c r="DF24" i="1"/>
  <c r="AJ24" i="1"/>
  <c r="DC51" i="1"/>
  <c r="AA51" i="1"/>
  <c r="AJ48" i="1"/>
  <c r="DF48" i="1"/>
  <c r="DA29" i="1"/>
  <c r="U29" i="1"/>
  <c r="CZ66" i="1"/>
  <c r="R66" i="1"/>
  <c r="AS31" i="1"/>
  <c r="DI31" i="1"/>
  <c r="DA53" i="1"/>
  <c r="U53" i="1"/>
  <c r="AM56" i="1"/>
  <c r="DG56" i="1"/>
  <c r="U65" i="1"/>
  <c r="DA65" i="1"/>
  <c r="AJ36" i="1"/>
  <c r="DF36" i="1"/>
  <c r="CZ54" i="1"/>
  <c r="R54" i="1"/>
  <c r="DH46" i="1"/>
  <c r="AP46" i="1"/>
  <c r="DD50" i="1"/>
  <c r="AD50" i="1"/>
  <c r="DG58" i="1"/>
  <c r="AM58" i="1"/>
  <c r="DB64" i="1"/>
  <c r="X64" i="1"/>
  <c r="DG59" i="1"/>
  <c r="AM59" i="1"/>
  <c r="AS33" i="1"/>
  <c r="DI33" i="1"/>
  <c r="R30" i="1"/>
  <c r="CZ30" i="1"/>
  <c r="AS34" i="1"/>
  <c r="DI34" i="1"/>
  <c r="AA63" i="1"/>
  <c r="DC63" i="1"/>
  <c r="DD26" i="1"/>
  <c r="AD26" i="1"/>
  <c r="DH43" i="1"/>
  <c r="AP43" i="1"/>
  <c r="DE25" i="1"/>
  <c r="AG25" i="1"/>
  <c r="DC39" i="1"/>
  <c r="AA39" i="1"/>
  <c r="DA41" i="1"/>
  <c r="U41" i="1"/>
  <c r="AP47" i="1"/>
  <c r="DH47" i="1"/>
  <c r="DC27" i="1"/>
  <c r="AA27" i="1"/>
  <c r="DH45" i="1"/>
  <c r="AP45" i="1"/>
  <c r="DG35" i="1"/>
  <c r="AM35" i="1"/>
  <c r="DH44" i="1"/>
  <c r="AP44" i="1"/>
  <c r="DJ20" i="1"/>
  <c r="AV20" i="1"/>
  <c r="AM60" i="1"/>
  <c r="DG60" i="1"/>
  <c r="DG57" i="1"/>
  <c r="AM57" i="1"/>
  <c r="AM23" i="1"/>
  <c r="DG23" i="1"/>
  <c r="DA30" i="1" l="1"/>
  <c r="U30" i="1"/>
  <c r="DH60" i="1"/>
  <c r="AP60" i="1"/>
  <c r="DE26" i="1"/>
  <c r="AG26" i="1"/>
  <c r="AM24" i="1"/>
  <c r="DG24" i="1"/>
  <c r="DC40" i="1"/>
  <c r="AA40" i="1"/>
  <c r="DE38" i="1"/>
  <c r="AG38" i="1"/>
  <c r="DF25" i="1"/>
  <c r="AJ25" i="1"/>
  <c r="DH59" i="1"/>
  <c r="AP59" i="1"/>
  <c r="DI47" i="1"/>
  <c r="AS47" i="1"/>
  <c r="DA66" i="1"/>
  <c r="U66" i="1"/>
  <c r="DJ32" i="1"/>
  <c r="AV32" i="1"/>
  <c r="DF61" i="1"/>
  <c r="AJ61" i="1"/>
  <c r="DH56" i="1"/>
  <c r="AP56" i="1"/>
  <c r="DH57" i="1"/>
  <c r="AP57" i="1"/>
  <c r="DI46" i="1"/>
  <c r="AS46" i="1"/>
  <c r="AD27" i="1"/>
  <c r="DD27" i="1"/>
  <c r="DF49" i="1"/>
  <c r="AJ49" i="1"/>
  <c r="DK20" i="1"/>
  <c r="AY20" i="1"/>
  <c r="X41" i="1"/>
  <c r="DB41" i="1"/>
  <c r="DC64" i="1"/>
  <c r="AA64" i="1"/>
  <c r="AM36" i="1"/>
  <c r="DG36" i="1"/>
  <c r="DL19" i="1"/>
  <c r="BB19" i="1"/>
  <c r="X53" i="1"/>
  <c r="DB53" i="1"/>
  <c r="DD51" i="1"/>
  <c r="AD51" i="1"/>
  <c r="DF37" i="1"/>
  <c r="AJ37" i="1"/>
  <c r="DI43" i="1"/>
  <c r="AS43" i="1"/>
  <c r="AD63" i="1"/>
  <c r="DD63" i="1"/>
  <c r="X29" i="1"/>
  <c r="DB29" i="1"/>
  <c r="DA42" i="1"/>
  <c r="U42" i="1"/>
  <c r="AP35" i="1"/>
  <c r="DH35" i="1"/>
  <c r="AM48" i="1"/>
  <c r="DG48" i="1"/>
  <c r="DE50" i="1"/>
  <c r="AG50" i="1"/>
  <c r="AV33" i="1"/>
  <c r="DJ33" i="1"/>
  <c r="AS22" i="1"/>
  <c r="DI22" i="1"/>
  <c r="DI44" i="1"/>
  <c r="AS44" i="1"/>
  <c r="DD39" i="1"/>
  <c r="AD39" i="1"/>
  <c r="DH58" i="1"/>
  <c r="AP58" i="1"/>
  <c r="DB65" i="1"/>
  <c r="X65" i="1"/>
  <c r="DH55" i="1"/>
  <c r="AP55" i="1"/>
  <c r="AA28" i="1"/>
  <c r="DC28" i="1"/>
  <c r="AG62" i="1"/>
  <c r="DE62" i="1"/>
  <c r="AS45" i="1"/>
  <c r="DI45" i="1"/>
  <c r="AY21" i="1"/>
  <c r="DK21" i="1"/>
  <c r="AV31" i="1"/>
  <c r="DJ31" i="1"/>
  <c r="U54" i="1"/>
  <c r="DA54" i="1"/>
  <c r="DH23" i="1"/>
  <c r="AP23" i="1"/>
  <c r="DJ34" i="1"/>
  <c r="AV34" i="1"/>
  <c r="AA52" i="1"/>
  <c r="DC52" i="1"/>
  <c r="DD28" i="1" l="1"/>
  <c r="AD28" i="1"/>
  <c r="AV22" i="1"/>
  <c r="DJ22" i="1"/>
  <c r="DH24" i="1"/>
  <c r="AP24" i="1"/>
  <c r="AS55" i="1"/>
  <c r="DI55" i="1"/>
  <c r="AA53" i="1"/>
  <c r="DC53" i="1"/>
  <c r="DC41" i="1"/>
  <c r="AA41" i="1"/>
  <c r="DI56" i="1"/>
  <c r="AS56" i="1"/>
  <c r="AS59" i="1"/>
  <c r="DI59" i="1"/>
  <c r="X54" i="1"/>
  <c r="DB54" i="1"/>
  <c r="AY33" i="1"/>
  <c r="DK33" i="1"/>
  <c r="AA29" i="1"/>
  <c r="DC29" i="1"/>
  <c r="BB20" i="1"/>
  <c r="DL20" i="1"/>
  <c r="AM49" i="1"/>
  <c r="DG49" i="1"/>
  <c r="AY32" i="1"/>
  <c r="DK32" i="1"/>
  <c r="DE39" i="1"/>
  <c r="AG39" i="1"/>
  <c r="AG27" i="1"/>
  <c r="DE27" i="1"/>
  <c r="X66" i="1"/>
  <c r="DB66" i="1"/>
  <c r="DD40" i="1"/>
  <c r="AD40" i="1"/>
  <c r="DC65" i="1"/>
  <c r="AA65" i="1"/>
  <c r="DG61" i="1"/>
  <c r="AM61" i="1"/>
  <c r="DD52" i="1"/>
  <c r="AD52" i="1"/>
  <c r="AV45" i="1"/>
  <c r="DJ45" i="1"/>
  <c r="AS35" i="1"/>
  <c r="DI35" i="1"/>
  <c r="DG37" i="1"/>
  <c r="AM37" i="1"/>
  <c r="AV46" i="1"/>
  <c r="DJ46" i="1"/>
  <c r="DB30" i="1"/>
  <c r="X30" i="1"/>
  <c r="DK31" i="1"/>
  <c r="AY31" i="1"/>
  <c r="DI58" i="1"/>
  <c r="AS58" i="1"/>
  <c r="DE63" i="1"/>
  <c r="AG63" i="1"/>
  <c r="AJ38" i="1"/>
  <c r="DF38" i="1"/>
  <c r="DL21" i="1"/>
  <c r="BB21" i="1"/>
  <c r="AV43" i="1"/>
  <c r="DJ43" i="1"/>
  <c r="DI60" i="1"/>
  <c r="AS60" i="1"/>
  <c r="AY34" i="1"/>
  <c r="DK34" i="1"/>
  <c r="DJ44" i="1"/>
  <c r="AV44" i="1"/>
  <c r="DB42" i="1"/>
  <c r="X42" i="1"/>
  <c r="AP36" i="1"/>
  <c r="DH36" i="1"/>
  <c r="DM19" i="1"/>
  <c r="BE19" i="1"/>
  <c r="DH48" i="1"/>
  <c r="AP48" i="1"/>
  <c r="AJ62" i="1"/>
  <c r="DF62" i="1"/>
  <c r="DE51" i="1"/>
  <c r="AG51" i="1"/>
  <c r="AD64" i="1"/>
  <c r="DD64" i="1"/>
  <c r="DF50" i="1"/>
  <c r="AJ50" i="1"/>
  <c r="AM25" i="1"/>
  <c r="DG25" i="1"/>
  <c r="DF26" i="1"/>
  <c r="AJ26" i="1"/>
  <c r="DI23" i="1"/>
  <c r="AS23" i="1"/>
  <c r="DI57" i="1"/>
  <c r="AS57" i="1"/>
  <c r="DJ47" i="1"/>
  <c r="AV47" i="1"/>
  <c r="DJ35" i="1" l="1"/>
  <c r="AV35" i="1"/>
  <c r="DK47" i="1"/>
  <c r="AY47" i="1"/>
  <c r="DL31" i="1"/>
  <c r="BB31" i="1"/>
  <c r="DM21" i="1"/>
  <c r="BE21" i="1"/>
  <c r="DE28" i="1"/>
  <c r="AG28" i="1"/>
  <c r="AS36" i="1"/>
  <c r="DI36" i="1"/>
  <c r="DD53" i="1"/>
  <c r="AD53" i="1"/>
  <c r="DM20" i="1"/>
  <c r="BE20" i="1"/>
  <c r="DE64" i="1"/>
  <c r="AG64" i="1"/>
  <c r="DC42" i="1"/>
  <c r="AA42" i="1"/>
  <c r="AP61" i="1"/>
  <c r="DH61" i="1"/>
  <c r="BB33" i="1"/>
  <c r="DL33" i="1"/>
  <c r="AS48" i="1"/>
  <c r="DI48" i="1"/>
  <c r="DJ56" i="1"/>
  <c r="AV56" i="1"/>
  <c r="AA66" i="1"/>
  <c r="DC66" i="1"/>
  <c r="AD41" i="1"/>
  <c r="DD41" i="1"/>
  <c r="DG50" i="1"/>
  <c r="AM50" i="1"/>
  <c r="DK45" i="1"/>
  <c r="AY45" i="1"/>
  <c r="DD29" i="1"/>
  <c r="AD29" i="1"/>
  <c r="AJ51" i="1"/>
  <c r="DF51" i="1"/>
  <c r="AM38" i="1"/>
  <c r="DG38" i="1"/>
  <c r="AY46" i="1"/>
  <c r="DK46" i="1"/>
  <c r="BB34" i="1"/>
  <c r="DL34" i="1"/>
  <c r="DJ59" i="1"/>
  <c r="AV59" i="1"/>
  <c r="DJ60" i="1"/>
  <c r="AV60" i="1"/>
  <c r="AP25" i="1"/>
  <c r="DH25" i="1"/>
  <c r="AJ27" i="1"/>
  <c r="DF27" i="1"/>
  <c r="AV57" i="1"/>
  <c r="DJ57" i="1"/>
  <c r="DE52" i="1"/>
  <c r="AG52" i="1"/>
  <c r="AY44" i="1"/>
  <c r="DK44" i="1"/>
  <c r="DF63" i="1"/>
  <c r="AJ63" i="1"/>
  <c r="DH37" i="1"/>
  <c r="AP37" i="1"/>
  <c r="DD65" i="1"/>
  <c r="AD65" i="1"/>
  <c r="BB32" i="1"/>
  <c r="DL32" i="1"/>
  <c r="AA54" i="1"/>
  <c r="DC54" i="1"/>
  <c r="DG26" i="1"/>
  <c r="AM26" i="1"/>
  <c r="BH19" i="1"/>
  <c r="DN19" i="1"/>
  <c r="AA30" i="1"/>
  <c r="DC30" i="1"/>
  <c r="AV23" i="1"/>
  <c r="DJ23" i="1"/>
  <c r="DJ55" i="1"/>
  <c r="AV55" i="1"/>
  <c r="AY43" i="1"/>
  <c r="DK43" i="1"/>
  <c r="AY22" i="1"/>
  <c r="DK22" i="1"/>
  <c r="AJ39" i="1"/>
  <c r="DF39" i="1"/>
  <c r="DG62" i="1"/>
  <c r="AM62" i="1"/>
  <c r="AV58" i="1"/>
  <c r="DJ58" i="1"/>
  <c r="AG40" i="1"/>
  <c r="DE40" i="1"/>
  <c r="DH49" i="1"/>
  <c r="AP49" i="1"/>
  <c r="DI24" i="1"/>
  <c r="AS24" i="1"/>
  <c r="DL44" i="1" l="1"/>
  <c r="BB44" i="1"/>
  <c r="AV48" i="1"/>
  <c r="DJ48" i="1"/>
  <c r="DF40" i="1"/>
  <c r="AJ40" i="1"/>
  <c r="AJ52" i="1"/>
  <c r="DF52" i="1"/>
  <c r="DL45" i="1"/>
  <c r="BB45" i="1"/>
  <c r="BH21" i="1"/>
  <c r="DN21" i="1"/>
  <c r="AY55" i="1"/>
  <c r="DK55" i="1"/>
  <c r="DD54" i="1"/>
  <c r="AD54" i="1"/>
  <c r="BE34" i="1"/>
  <c r="DM34" i="1"/>
  <c r="AY57" i="1"/>
  <c r="DK57" i="1"/>
  <c r="DE53" i="1"/>
  <c r="AG53" i="1"/>
  <c r="AG65" i="1"/>
  <c r="DE65" i="1"/>
  <c r="DG39" i="1"/>
  <c r="AM39" i="1"/>
  <c r="DI37" i="1"/>
  <c r="AS37" i="1"/>
  <c r="AP38" i="1"/>
  <c r="DH38" i="1"/>
  <c r="DK35" i="1"/>
  <c r="AY35" i="1"/>
  <c r="BE33" i="1"/>
  <c r="DM33" i="1"/>
  <c r="AP62" i="1"/>
  <c r="DH62" i="1"/>
  <c r="AS61" i="1"/>
  <c r="DI61" i="1"/>
  <c r="DJ24" i="1"/>
  <c r="AV24" i="1"/>
  <c r="AD30" i="1"/>
  <c r="DD30" i="1"/>
  <c r="DI25" i="1"/>
  <c r="AS25" i="1"/>
  <c r="DD66" i="1"/>
  <c r="AD66" i="1"/>
  <c r="DF64" i="1"/>
  <c r="AJ64" i="1"/>
  <c r="DK58" i="1"/>
  <c r="AY58" i="1"/>
  <c r="AP50" i="1"/>
  <c r="DH50" i="1"/>
  <c r="DL46" i="1"/>
  <c r="BB46" i="1"/>
  <c r="DL47" i="1"/>
  <c r="BB47" i="1"/>
  <c r="AY23" i="1"/>
  <c r="DK23" i="1"/>
  <c r="AM27" i="1"/>
  <c r="DG27" i="1"/>
  <c r="AG41" i="1"/>
  <c r="DE41" i="1"/>
  <c r="DD42" i="1"/>
  <c r="AD42" i="1"/>
  <c r="BB22" i="1"/>
  <c r="DL22" i="1"/>
  <c r="AM63" i="1"/>
  <c r="DG63" i="1"/>
  <c r="AY60" i="1"/>
  <c r="DK60" i="1"/>
  <c r="DK56" i="1"/>
  <c r="AY56" i="1"/>
  <c r="AV36" i="1"/>
  <c r="DJ36" i="1"/>
  <c r="DM31" i="1"/>
  <c r="BE31" i="1"/>
  <c r="DM32" i="1"/>
  <c r="BE32" i="1"/>
  <c r="DI49" i="1"/>
  <c r="AS49" i="1"/>
  <c r="BK19" i="1"/>
  <c r="DO19" i="1"/>
  <c r="AM51" i="1"/>
  <c r="DG51" i="1"/>
  <c r="DL43" i="1"/>
  <c r="BB43" i="1"/>
  <c r="DH26" i="1"/>
  <c r="AP26" i="1"/>
  <c r="DK59" i="1"/>
  <c r="AY59" i="1"/>
  <c r="DE29" i="1"/>
  <c r="AG29" i="1"/>
  <c r="DN20" i="1"/>
  <c r="BH20" i="1"/>
  <c r="AJ28" i="1"/>
  <c r="DF28" i="1"/>
  <c r="DF29" i="1" l="1"/>
  <c r="AJ29" i="1"/>
  <c r="AP27" i="1"/>
  <c r="DH27" i="1"/>
  <c r="DE66" i="1"/>
  <c r="AG66" i="1"/>
  <c r="AM28" i="1"/>
  <c r="DG28" i="1"/>
  <c r="DH51" i="1"/>
  <c r="AP51" i="1"/>
  <c r="DK36" i="1"/>
  <c r="AY36" i="1"/>
  <c r="BB58" i="1"/>
  <c r="DL58" i="1"/>
  <c r="AV37" i="1"/>
  <c r="DJ37" i="1"/>
  <c r="BK20" i="1"/>
  <c r="DO20" i="1"/>
  <c r="DL56" i="1"/>
  <c r="BB56" i="1"/>
  <c r="DF41" i="1"/>
  <c r="AJ41" i="1"/>
  <c r="BH34" i="1"/>
  <c r="DN34" i="1"/>
  <c r="AM52" i="1"/>
  <c r="DG52" i="1"/>
  <c r="BN19" i="1"/>
  <c r="DP19" i="1"/>
  <c r="DG64" i="1"/>
  <c r="AM64" i="1"/>
  <c r="AP39" i="1"/>
  <c r="DH39" i="1"/>
  <c r="DG40" i="1"/>
  <c r="AM40" i="1"/>
  <c r="AV49" i="1"/>
  <c r="DJ49" i="1"/>
  <c r="AS62" i="1"/>
  <c r="DI62" i="1"/>
  <c r="DH63" i="1"/>
  <c r="AP63" i="1"/>
  <c r="DJ61" i="1"/>
  <c r="AV61" i="1"/>
  <c r="DL59" i="1"/>
  <c r="BB59" i="1"/>
  <c r="AY48" i="1"/>
  <c r="DK48" i="1"/>
  <c r="AS26" i="1"/>
  <c r="DI26" i="1"/>
  <c r="DM46" i="1"/>
  <c r="BE46" i="1"/>
  <c r="BB35" i="1"/>
  <c r="DL35" i="1"/>
  <c r="AJ53" i="1"/>
  <c r="DF53" i="1"/>
  <c r="BK21" i="1"/>
  <c r="DO21" i="1"/>
  <c r="DM43" i="1"/>
  <c r="BE43" i="1"/>
  <c r="BH31" i="1"/>
  <c r="DN31" i="1"/>
  <c r="BE22" i="1"/>
  <c r="DM22" i="1"/>
  <c r="AG30" i="1"/>
  <c r="DE30" i="1"/>
  <c r="BB23" i="1"/>
  <c r="DL23" i="1"/>
  <c r="BB55" i="1"/>
  <c r="DL55" i="1"/>
  <c r="BH32" i="1"/>
  <c r="DN32" i="1"/>
  <c r="DF65" i="1"/>
  <c r="AJ65" i="1"/>
  <c r="DE42" i="1"/>
  <c r="AG42" i="1"/>
  <c r="AY24" i="1"/>
  <c r="DK24" i="1"/>
  <c r="BE45" i="1"/>
  <c r="DM45" i="1"/>
  <c r="AG54" i="1"/>
  <c r="DE54" i="1"/>
  <c r="DL60" i="1"/>
  <c r="BB60" i="1"/>
  <c r="DM47" i="1"/>
  <c r="BE47" i="1"/>
  <c r="AV25" i="1"/>
  <c r="DJ25" i="1"/>
  <c r="DM44" i="1"/>
  <c r="BE44" i="1"/>
  <c r="DN33" i="1"/>
  <c r="BH33" i="1"/>
  <c r="DI50" i="1"/>
  <c r="AS50" i="1"/>
  <c r="AS38" i="1"/>
  <c r="DI38" i="1"/>
  <c r="DL57" i="1"/>
  <c r="BB57" i="1"/>
  <c r="BH45" i="1" l="1"/>
  <c r="DN45" i="1"/>
  <c r="DF42" i="1"/>
  <c r="AJ42" i="1"/>
  <c r="DF66" i="1"/>
  <c r="AJ66" i="1"/>
  <c r="DM57" i="1"/>
  <c r="BE57" i="1"/>
  <c r="DN47" i="1"/>
  <c r="BH47" i="1"/>
  <c r="DN22" i="1"/>
  <c r="BH22" i="1"/>
  <c r="BH46" i="1"/>
  <c r="DN46" i="1"/>
  <c r="AS63" i="1"/>
  <c r="DI63" i="1"/>
  <c r="BN20" i="1"/>
  <c r="DP20" i="1"/>
  <c r="DG41" i="1"/>
  <c r="AM41" i="1"/>
  <c r="AM53" i="1"/>
  <c r="DG53" i="1"/>
  <c r="DM56" i="1"/>
  <c r="BE56" i="1"/>
  <c r="AS39" i="1"/>
  <c r="DI39" i="1"/>
  <c r="DK25" i="1"/>
  <c r="AY25" i="1"/>
  <c r="AP64" i="1"/>
  <c r="DH64" i="1"/>
  <c r="DG65" i="1"/>
  <c r="AM65" i="1"/>
  <c r="DO33" i="1"/>
  <c r="BK33" i="1"/>
  <c r="BK34" i="1"/>
  <c r="DO34" i="1"/>
  <c r="DN44" i="1"/>
  <c r="BH44" i="1"/>
  <c r="DF30" i="1"/>
  <c r="AJ30" i="1"/>
  <c r="DM60" i="1"/>
  <c r="BE60" i="1"/>
  <c r="DO31" i="1"/>
  <c r="BK31" i="1"/>
  <c r="DQ19" i="1"/>
  <c r="BQ19" i="1"/>
  <c r="AY37" i="1"/>
  <c r="DK37" i="1"/>
  <c r="AS27" i="1"/>
  <c r="DI27" i="1"/>
  <c r="DM55" i="1"/>
  <c r="BE55" i="1"/>
  <c r="DK61" i="1"/>
  <c r="AY61" i="1"/>
  <c r="DJ38" i="1"/>
  <c r="AV38" i="1"/>
  <c r="BH43" i="1"/>
  <c r="DN43" i="1"/>
  <c r="DJ26" i="1"/>
  <c r="AV26" i="1"/>
  <c r="AV62" i="1"/>
  <c r="DJ62" i="1"/>
  <c r="AM29" i="1"/>
  <c r="DG29" i="1"/>
  <c r="AJ54" i="1"/>
  <c r="DF54" i="1"/>
  <c r="AY49" i="1"/>
  <c r="DK49" i="1"/>
  <c r="AS51" i="1"/>
  <c r="DI51" i="1"/>
  <c r="BE59" i="1"/>
  <c r="DM59" i="1"/>
  <c r="BB24" i="1"/>
  <c r="DL24" i="1"/>
  <c r="AP28" i="1"/>
  <c r="DH28" i="1"/>
  <c r="DJ50" i="1"/>
  <c r="AV50" i="1"/>
  <c r="DO32" i="1"/>
  <c r="BK32" i="1"/>
  <c r="DH52" i="1"/>
  <c r="AP52" i="1"/>
  <c r="BE58" i="1"/>
  <c r="DM58" i="1"/>
  <c r="BN21" i="1"/>
  <c r="DP21" i="1"/>
  <c r="DH40" i="1"/>
  <c r="AP40" i="1"/>
  <c r="DM23" i="1"/>
  <c r="BE23" i="1"/>
  <c r="DM35" i="1"/>
  <c r="BE35" i="1"/>
  <c r="BB48" i="1"/>
  <c r="DL48" i="1"/>
  <c r="DL36" i="1"/>
  <c r="BB36" i="1"/>
  <c r="DO22" i="1" l="1"/>
  <c r="BK22" i="1"/>
  <c r="DI40" i="1"/>
  <c r="AS40" i="1"/>
  <c r="DN55" i="1"/>
  <c r="BH55" i="1"/>
  <c r="DN60" i="1"/>
  <c r="BH60" i="1"/>
  <c r="AM66" i="1"/>
  <c r="DG66" i="1"/>
  <c r="DI52" i="1"/>
  <c r="AS52" i="1"/>
  <c r="DN56" i="1"/>
  <c r="BH56" i="1"/>
  <c r="BK43" i="1"/>
  <c r="DO43" i="1"/>
  <c r="DK38" i="1"/>
  <c r="AY38" i="1"/>
  <c r="AS28" i="1"/>
  <c r="DI28" i="1"/>
  <c r="DG30" i="1"/>
  <c r="AM30" i="1"/>
  <c r="DL25" i="1"/>
  <c r="BB25" i="1"/>
  <c r="DG42" i="1"/>
  <c r="AM42" i="1"/>
  <c r="BT19" i="1"/>
  <c r="DR19" i="1"/>
  <c r="BH35" i="1"/>
  <c r="DN35" i="1"/>
  <c r="DP33" i="1"/>
  <c r="BN33" i="1"/>
  <c r="AY50" i="1"/>
  <c r="DK50" i="1"/>
  <c r="AP65" i="1"/>
  <c r="DH65" i="1"/>
  <c r="AM54" i="1"/>
  <c r="DG54" i="1"/>
  <c r="BQ20" i="1"/>
  <c r="DQ20" i="1"/>
  <c r="BQ21" i="1"/>
  <c r="DQ21" i="1"/>
  <c r="DM24" i="1"/>
  <c r="BE24" i="1"/>
  <c r="AY62" i="1"/>
  <c r="DK62" i="1"/>
  <c r="DJ27" i="1"/>
  <c r="AV27" i="1"/>
  <c r="AV63" i="1"/>
  <c r="DJ63" i="1"/>
  <c r="AV51" i="1"/>
  <c r="DJ51" i="1"/>
  <c r="BN34" i="1"/>
  <c r="DP34" i="1"/>
  <c r="DO47" i="1"/>
  <c r="BK47" i="1"/>
  <c r="DH53" i="1"/>
  <c r="AP53" i="1"/>
  <c r="BH23" i="1"/>
  <c r="DN23" i="1"/>
  <c r="DL61" i="1"/>
  <c r="BB61" i="1"/>
  <c r="AP41" i="1"/>
  <c r="DH41" i="1"/>
  <c r="DH29" i="1"/>
  <c r="AP29" i="1"/>
  <c r="DI64" i="1"/>
  <c r="AS64" i="1"/>
  <c r="BE36" i="1"/>
  <c r="DM36" i="1"/>
  <c r="AY26" i="1"/>
  <c r="DK26" i="1"/>
  <c r="BK44" i="1"/>
  <c r="DO44" i="1"/>
  <c r="BE48" i="1"/>
  <c r="DM48" i="1"/>
  <c r="DP32" i="1"/>
  <c r="BN32" i="1"/>
  <c r="DP31" i="1"/>
  <c r="BN31" i="1"/>
  <c r="BB49" i="1"/>
  <c r="DL49" i="1"/>
  <c r="DN57" i="1"/>
  <c r="BH57" i="1"/>
  <c r="BH58" i="1"/>
  <c r="DN58" i="1"/>
  <c r="DN59" i="1"/>
  <c r="BH59" i="1"/>
  <c r="DL37" i="1"/>
  <c r="BB37" i="1"/>
  <c r="AV39" i="1"/>
  <c r="DJ39" i="1"/>
  <c r="BK46" i="1"/>
  <c r="DO46" i="1"/>
  <c r="DO45" i="1"/>
  <c r="BK45" i="1"/>
  <c r="DI53" i="1" l="1"/>
  <c r="AS53" i="1"/>
  <c r="AP30" i="1"/>
  <c r="DH30" i="1"/>
  <c r="AV52" i="1"/>
  <c r="DJ52" i="1"/>
  <c r="DP46" i="1"/>
  <c r="BN46" i="1"/>
  <c r="BE49" i="1"/>
  <c r="DM49" i="1"/>
  <c r="BH36" i="1"/>
  <c r="DN36" i="1"/>
  <c r="BB62" i="1"/>
  <c r="DL62" i="1"/>
  <c r="DL50" i="1"/>
  <c r="BB50" i="1"/>
  <c r="DQ31" i="1"/>
  <c r="BQ31" i="1"/>
  <c r="DJ64" i="1"/>
  <c r="AV64" i="1"/>
  <c r="BN47" i="1"/>
  <c r="DP47" i="1"/>
  <c r="BH24" i="1"/>
  <c r="DN24" i="1"/>
  <c r="BQ33" i="1"/>
  <c r="DQ33" i="1"/>
  <c r="DR21" i="1"/>
  <c r="BT21" i="1"/>
  <c r="DO55" i="1"/>
  <c r="BK55" i="1"/>
  <c r="BH48" i="1"/>
  <c r="DN48" i="1"/>
  <c r="AS41" i="1"/>
  <c r="DI41" i="1"/>
  <c r="AY51" i="1"/>
  <c r="DK51" i="1"/>
  <c r="BT20" i="1"/>
  <c r="DR20" i="1"/>
  <c r="DS19" i="1"/>
  <c r="BW19" i="1"/>
  <c r="DH66" i="1"/>
  <c r="AP66" i="1"/>
  <c r="DQ32" i="1"/>
  <c r="BQ32" i="1"/>
  <c r="BB38" i="1"/>
  <c r="DL38" i="1"/>
  <c r="DM61" i="1"/>
  <c r="BE61" i="1"/>
  <c r="AP42" i="1"/>
  <c r="DH42" i="1"/>
  <c r="AV40" i="1"/>
  <c r="DJ40" i="1"/>
  <c r="DK39" i="1"/>
  <c r="AY39" i="1"/>
  <c r="AS29" i="1"/>
  <c r="DI29" i="1"/>
  <c r="BK60" i="1"/>
  <c r="DO60" i="1"/>
  <c r="DQ34" i="1"/>
  <c r="BQ34" i="1"/>
  <c r="DO58" i="1"/>
  <c r="BK58" i="1"/>
  <c r="BN44" i="1"/>
  <c r="DP44" i="1"/>
  <c r="AY63" i="1"/>
  <c r="DK63" i="1"/>
  <c r="DH54" i="1"/>
  <c r="AP54" i="1"/>
  <c r="BN43" i="1"/>
  <c r="DP43" i="1"/>
  <c r="BK35" i="1"/>
  <c r="DO35" i="1"/>
  <c r="DP45" i="1"/>
  <c r="BN45" i="1"/>
  <c r="BK57" i="1"/>
  <c r="DO57" i="1"/>
  <c r="DK27" i="1"/>
  <c r="AY27" i="1"/>
  <c r="DM25" i="1"/>
  <c r="BE25" i="1"/>
  <c r="BK56" i="1"/>
  <c r="DO56" i="1"/>
  <c r="BN22" i="1"/>
  <c r="DP22" i="1"/>
  <c r="DM37" i="1"/>
  <c r="BE37" i="1"/>
  <c r="AV28" i="1"/>
  <c r="DJ28" i="1"/>
  <c r="DO59" i="1"/>
  <c r="BK59" i="1"/>
  <c r="DL26" i="1"/>
  <c r="BB26" i="1"/>
  <c r="BK23" i="1"/>
  <c r="DO23" i="1"/>
  <c r="AS65" i="1"/>
  <c r="DI65" i="1"/>
  <c r="BT34" i="1" l="1"/>
  <c r="DR34" i="1"/>
  <c r="BH61" i="1"/>
  <c r="DN61" i="1"/>
  <c r="AV65" i="1"/>
  <c r="DJ65" i="1"/>
  <c r="BQ22" i="1"/>
  <c r="DQ22" i="1"/>
  <c r="BN35" i="1"/>
  <c r="DP35" i="1"/>
  <c r="DL51" i="1"/>
  <c r="BB51" i="1"/>
  <c r="BK24" i="1"/>
  <c r="DO24" i="1"/>
  <c r="DO36" i="1"/>
  <c r="BK36" i="1"/>
  <c r="BN23" i="1"/>
  <c r="DP23" i="1"/>
  <c r="DM38" i="1"/>
  <c r="BE38" i="1"/>
  <c r="DM26" i="1"/>
  <c r="BE26" i="1"/>
  <c r="DI54" i="1"/>
  <c r="AS54" i="1"/>
  <c r="DQ46" i="1"/>
  <c r="BQ46" i="1"/>
  <c r="AV29" i="1"/>
  <c r="DJ29" i="1"/>
  <c r="BB63" i="1"/>
  <c r="DL63" i="1"/>
  <c r="DK52" i="1"/>
  <c r="AY52" i="1"/>
  <c r="DQ43" i="1"/>
  <c r="BQ43" i="1"/>
  <c r="DQ47" i="1"/>
  <c r="BQ47" i="1"/>
  <c r="BH25" i="1"/>
  <c r="DN25" i="1"/>
  <c r="BB27" i="1"/>
  <c r="DL27" i="1"/>
  <c r="DR31" i="1"/>
  <c r="BT31" i="1"/>
  <c r="BZ19" i="1"/>
  <c r="DT19" i="1"/>
  <c r="DS21" i="1"/>
  <c r="BW21" i="1"/>
  <c r="DM50" i="1"/>
  <c r="BE50" i="1"/>
  <c r="BN56" i="1"/>
  <c r="DP56" i="1"/>
  <c r="BH49" i="1"/>
  <c r="DN49" i="1"/>
  <c r="DR32" i="1"/>
  <c r="BT32" i="1"/>
  <c r="DP55" i="1"/>
  <c r="BN55" i="1"/>
  <c r="DK28" i="1"/>
  <c r="AY28" i="1"/>
  <c r="BN57" i="1"/>
  <c r="DP57" i="1"/>
  <c r="BQ44" i="1"/>
  <c r="DQ44" i="1"/>
  <c r="AY40" i="1"/>
  <c r="DK40" i="1"/>
  <c r="AS30" i="1"/>
  <c r="DI30" i="1"/>
  <c r="BN60" i="1"/>
  <c r="DP60" i="1"/>
  <c r="BK48" i="1"/>
  <c r="DO48" i="1"/>
  <c r="DP59" i="1"/>
  <c r="BN59" i="1"/>
  <c r="DL39" i="1"/>
  <c r="BB39" i="1"/>
  <c r="DI66" i="1"/>
  <c r="AS66" i="1"/>
  <c r="BH37" i="1"/>
  <c r="DN37" i="1"/>
  <c r="DQ45" i="1"/>
  <c r="BQ45" i="1"/>
  <c r="DP58" i="1"/>
  <c r="BN58" i="1"/>
  <c r="DJ53" i="1"/>
  <c r="AV53" i="1"/>
  <c r="AV41" i="1"/>
  <c r="DJ41" i="1"/>
  <c r="DK64" i="1"/>
  <c r="AY64" i="1"/>
  <c r="AS42" i="1"/>
  <c r="DI42" i="1"/>
  <c r="BW20" i="1"/>
  <c r="DS20" i="1"/>
  <c r="DR33" i="1"/>
  <c r="BT33" i="1"/>
  <c r="BE62" i="1"/>
  <c r="DM62" i="1"/>
  <c r="BH50" i="1" l="1"/>
  <c r="DN50" i="1"/>
  <c r="BT43" i="1"/>
  <c r="DR43" i="1"/>
  <c r="BQ35" i="1"/>
  <c r="DQ35" i="1"/>
  <c r="DQ55" i="1"/>
  <c r="BQ55" i="1"/>
  <c r="BT22" i="1"/>
  <c r="DR22" i="1"/>
  <c r="BW32" i="1"/>
  <c r="DS32" i="1"/>
  <c r="BW31" i="1"/>
  <c r="DS31" i="1"/>
  <c r="DR47" i="1"/>
  <c r="BT47" i="1"/>
  <c r="DN62" i="1"/>
  <c r="BH62" i="1"/>
  <c r="BB28" i="1"/>
  <c r="DL28" i="1"/>
  <c r="BQ60" i="1"/>
  <c r="DQ60" i="1"/>
  <c r="AV42" i="1"/>
  <c r="DJ42" i="1"/>
  <c r="BK37" i="1"/>
  <c r="DO37" i="1"/>
  <c r="DJ30" i="1"/>
  <c r="AV30" i="1"/>
  <c r="DM63" i="1"/>
  <c r="BE63" i="1"/>
  <c r="DQ23" i="1"/>
  <c r="BQ23" i="1"/>
  <c r="DK65" i="1"/>
  <c r="AY65" i="1"/>
  <c r="DQ58" i="1"/>
  <c r="BQ58" i="1"/>
  <c r="DN26" i="1"/>
  <c r="BH26" i="1"/>
  <c r="DL64" i="1"/>
  <c r="BB64" i="1"/>
  <c r="AV66" i="1"/>
  <c r="DJ66" i="1"/>
  <c r="BN36" i="1"/>
  <c r="DP36" i="1"/>
  <c r="BE51" i="1"/>
  <c r="DM51" i="1"/>
  <c r="BQ57" i="1"/>
  <c r="DQ57" i="1"/>
  <c r="BT45" i="1"/>
  <c r="DR45" i="1"/>
  <c r="BH38" i="1"/>
  <c r="DN38" i="1"/>
  <c r="BZ20" i="1"/>
  <c r="DT20" i="1"/>
  <c r="DU19" i="1"/>
  <c r="CC19" i="1"/>
  <c r="DL40" i="1"/>
  <c r="BB40" i="1"/>
  <c r="BK49" i="1"/>
  <c r="DO49" i="1"/>
  <c r="BE27" i="1"/>
  <c r="DM27" i="1"/>
  <c r="AY29" i="1"/>
  <c r="DK29" i="1"/>
  <c r="BK61" i="1"/>
  <c r="DO61" i="1"/>
  <c r="AY53" i="1"/>
  <c r="DK53" i="1"/>
  <c r="AV54" i="1"/>
  <c r="DJ54" i="1"/>
  <c r="DS33" i="1"/>
  <c r="BW33" i="1"/>
  <c r="DP48" i="1"/>
  <c r="BN48" i="1"/>
  <c r="DL52" i="1"/>
  <c r="BB52" i="1"/>
  <c r="BE39" i="1"/>
  <c r="DM39" i="1"/>
  <c r="DR46" i="1"/>
  <c r="BT46" i="1"/>
  <c r="BQ59" i="1"/>
  <c r="DQ59" i="1"/>
  <c r="DT21" i="1"/>
  <c r="BZ21" i="1"/>
  <c r="AY41" i="1"/>
  <c r="DK41" i="1"/>
  <c r="DR44" i="1"/>
  <c r="BT44" i="1"/>
  <c r="BQ56" i="1"/>
  <c r="DQ56" i="1"/>
  <c r="BK25" i="1"/>
  <c r="DO25" i="1"/>
  <c r="DP24" i="1"/>
  <c r="BN24" i="1"/>
  <c r="BW34" i="1"/>
  <c r="DS34" i="1"/>
  <c r="BQ24" i="1" l="1"/>
  <c r="DQ24" i="1"/>
  <c r="DM40" i="1"/>
  <c r="BE40" i="1"/>
  <c r="DL65" i="1"/>
  <c r="BB65" i="1"/>
  <c r="DU21" i="1"/>
  <c r="CC21" i="1"/>
  <c r="BT58" i="1"/>
  <c r="DR58" i="1"/>
  <c r="BZ32" i="1"/>
  <c r="DT32" i="1"/>
  <c r="BW46" i="1"/>
  <c r="DS46" i="1"/>
  <c r="DR23" i="1"/>
  <c r="BT23" i="1"/>
  <c r="DQ36" i="1"/>
  <c r="BQ36" i="1"/>
  <c r="DO62" i="1"/>
  <c r="BK62" i="1"/>
  <c r="BT56" i="1"/>
  <c r="DR56" i="1"/>
  <c r="BH39" i="1"/>
  <c r="DN39" i="1"/>
  <c r="BN61" i="1"/>
  <c r="DP61" i="1"/>
  <c r="DU20" i="1"/>
  <c r="CC20" i="1"/>
  <c r="AY66" i="1"/>
  <c r="DK66" i="1"/>
  <c r="DR35" i="1"/>
  <c r="BT35" i="1"/>
  <c r="DR57" i="1"/>
  <c r="BT57" i="1"/>
  <c r="AY54" i="1"/>
  <c r="DK54" i="1"/>
  <c r="DS22" i="1"/>
  <c r="BW22" i="1"/>
  <c r="DV19" i="1"/>
  <c r="CF19" i="1"/>
  <c r="BN25" i="1"/>
  <c r="DP25" i="1"/>
  <c r="BE28" i="1"/>
  <c r="DM28" i="1"/>
  <c r="BW44" i="1"/>
  <c r="DS44" i="1"/>
  <c r="DM52" i="1"/>
  <c r="BE52" i="1"/>
  <c r="BE64" i="1"/>
  <c r="DM64" i="1"/>
  <c r="DK30" i="1"/>
  <c r="AY30" i="1"/>
  <c r="BW47" i="1"/>
  <c r="DS47" i="1"/>
  <c r="AY42" i="1"/>
  <c r="DK42" i="1"/>
  <c r="BH51" i="1"/>
  <c r="DN51" i="1"/>
  <c r="DR55" i="1"/>
  <c r="BT55" i="1"/>
  <c r="BH63" i="1"/>
  <c r="DN63" i="1"/>
  <c r="BB29" i="1"/>
  <c r="DL29" i="1"/>
  <c r="BK38" i="1"/>
  <c r="DO38" i="1"/>
  <c r="BW43" i="1"/>
  <c r="DS43" i="1"/>
  <c r="DQ48" i="1"/>
  <c r="BQ48" i="1"/>
  <c r="BK26" i="1"/>
  <c r="DO26" i="1"/>
  <c r="BZ33" i="1"/>
  <c r="DT33" i="1"/>
  <c r="DT34" i="1"/>
  <c r="BZ34" i="1"/>
  <c r="DP49" i="1"/>
  <c r="BN49" i="1"/>
  <c r="BT59" i="1"/>
  <c r="DR59" i="1"/>
  <c r="DR60" i="1"/>
  <c r="BT60" i="1"/>
  <c r="DL53" i="1"/>
  <c r="BB53" i="1"/>
  <c r="BB41" i="1"/>
  <c r="DL41" i="1"/>
  <c r="DN27" i="1"/>
  <c r="BH27" i="1"/>
  <c r="BW45" i="1"/>
  <c r="DS45" i="1"/>
  <c r="DP37" i="1"/>
  <c r="BN37" i="1"/>
  <c r="BZ31" i="1"/>
  <c r="DT31" i="1"/>
  <c r="BK50" i="1"/>
  <c r="DO50" i="1"/>
  <c r="DM53" i="1" l="1"/>
  <c r="BE53" i="1"/>
  <c r="DO51" i="1"/>
  <c r="BK51" i="1"/>
  <c r="DP62" i="1"/>
  <c r="BN62" i="1"/>
  <c r="DL42" i="1"/>
  <c r="BB42" i="1"/>
  <c r="DQ49" i="1"/>
  <c r="BQ49" i="1"/>
  <c r="BT36" i="1"/>
  <c r="DR36" i="1"/>
  <c r="BE65" i="1"/>
  <c r="DM65" i="1"/>
  <c r="DP26" i="1"/>
  <c r="BN26" i="1"/>
  <c r="DU32" i="1"/>
  <c r="CC32" i="1"/>
  <c r="BW56" i="1"/>
  <c r="DS56" i="1"/>
  <c r="DS59" i="1"/>
  <c r="BW59" i="1"/>
  <c r="BZ47" i="1"/>
  <c r="DT47" i="1"/>
  <c r="BK27" i="1"/>
  <c r="DO27" i="1"/>
  <c r="DU34" i="1"/>
  <c r="CC34" i="1"/>
  <c r="DL30" i="1"/>
  <c r="BB30" i="1"/>
  <c r="DW19" i="1"/>
  <c r="CI19" i="1"/>
  <c r="DV20" i="1"/>
  <c r="CF20" i="1"/>
  <c r="BW23" i="1"/>
  <c r="DS23" i="1"/>
  <c r="BH40" i="1"/>
  <c r="DN40" i="1"/>
  <c r="DS55" i="1"/>
  <c r="BW55" i="1"/>
  <c r="DO39" i="1"/>
  <c r="BK39" i="1"/>
  <c r="BT48" i="1"/>
  <c r="DR48" i="1"/>
  <c r="BW57" i="1"/>
  <c r="DS57" i="1"/>
  <c r="DV21" i="1"/>
  <c r="CF21" i="1"/>
  <c r="BH28" i="1"/>
  <c r="DN28" i="1"/>
  <c r="DT45" i="1"/>
  <c r="BZ45" i="1"/>
  <c r="DM29" i="1"/>
  <c r="BE29" i="1"/>
  <c r="BH52" i="1"/>
  <c r="DN52" i="1"/>
  <c r="BW60" i="1"/>
  <c r="DS60" i="1"/>
  <c r="DT44" i="1"/>
  <c r="BZ44" i="1"/>
  <c r="BQ37" i="1"/>
  <c r="DQ37" i="1"/>
  <c r="BW35" i="1"/>
  <c r="DS35" i="1"/>
  <c r="DT43" i="1"/>
  <c r="BZ43" i="1"/>
  <c r="BN38" i="1"/>
  <c r="DP38" i="1"/>
  <c r="BQ25" i="1"/>
  <c r="DQ25" i="1"/>
  <c r="DT22" i="1"/>
  <c r="BZ22" i="1"/>
  <c r="BN50" i="1"/>
  <c r="DP50" i="1"/>
  <c r="DL54" i="1"/>
  <c r="BB54" i="1"/>
  <c r="CC31" i="1"/>
  <c r="DU31" i="1"/>
  <c r="BW58" i="1"/>
  <c r="DS58" i="1"/>
  <c r="DL66" i="1"/>
  <c r="BB66" i="1"/>
  <c r="DM41" i="1"/>
  <c r="BE41" i="1"/>
  <c r="CC33" i="1"/>
  <c r="DU33" i="1"/>
  <c r="BK63" i="1"/>
  <c r="DO63" i="1"/>
  <c r="BH64" i="1"/>
  <c r="DN64" i="1"/>
  <c r="DQ61" i="1"/>
  <c r="BQ61" i="1"/>
  <c r="DT46" i="1"/>
  <c r="BZ46" i="1"/>
  <c r="DR24" i="1"/>
  <c r="BT24" i="1"/>
  <c r="DU44" i="1" l="1"/>
  <c r="CC44" i="1"/>
  <c r="DN41" i="1"/>
  <c r="BH41" i="1"/>
  <c r="DW21" i="1"/>
  <c r="CI21" i="1"/>
  <c r="DU47" i="1"/>
  <c r="CC47" i="1"/>
  <c r="DM66" i="1"/>
  <c r="BE66" i="1"/>
  <c r="DR49" i="1"/>
  <c r="BT49" i="1"/>
  <c r="DR25" i="1"/>
  <c r="BT25" i="1"/>
  <c r="DT56" i="1"/>
  <c r="BZ56" i="1"/>
  <c r="BQ62" i="1"/>
  <c r="DQ62" i="1"/>
  <c r="BK64" i="1"/>
  <c r="DO64" i="1"/>
  <c r="CF31" i="1"/>
  <c r="DV31" i="1"/>
  <c r="CC22" i="1"/>
  <c r="DU22" i="1"/>
  <c r="DW20" i="1"/>
  <c r="CI20" i="1"/>
  <c r="BZ57" i="1"/>
  <c r="DT57" i="1"/>
  <c r="BT61" i="1"/>
  <c r="DR61" i="1"/>
  <c r="DX19" i="1"/>
  <c r="CL19" i="1"/>
  <c r="BZ58" i="1"/>
  <c r="DT58" i="1"/>
  <c r="DU43" i="1"/>
  <c r="CC43" i="1"/>
  <c r="DV32" i="1"/>
  <c r="CF32" i="1"/>
  <c r="DM54" i="1"/>
  <c r="BE54" i="1"/>
  <c r="CC45" i="1"/>
  <c r="DU45" i="1"/>
  <c r="BZ55" i="1"/>
  <c r="DT55" i="1"/>
  <c r="DV34" i="1"/>
  <c r="CF34" i="1"/>
  <c r="DQ26" i="1"/>
  <c r="BQ26" i="1"/>
  <c r="DP51" i="1"/>
  <c r="BN51" i="1"/>
  <c r="BW36" i="1"/>
  <c r="DS36" i="1"/>
  <c r="DU46" i="1"/>
  <c r="CC46" i="1"/>
  <c r="DT60" i="1"/>
  <c r="BZ60" i="1"/>
  <c r="DQ38" i="1"/>
  <c r="BQ38" i="1"/>
  <c r="BW48" i="1"/>
  <c r="DS48" i="1"/>
  <c r="BN39" i="1"/>
  <c r="DP39" i="1"/>
  <c r="DP63" i="1"/>
  <c r="BN63" i="1"/>
  <c r="BZ35" i="1"/>
  <c r="DT35" i="1"/>
  <c r="DM42" i="1"/>
  <c r="BE42" i="1"/>
  <c r="BK52" i="1"/>
  <c r="DO52" i="1"/>
  <c r="BH29" i="1"/>
  <c r="DN29" i="1"/>
  <c r="DN53" i="1"/>
  <c r="BH53" i="1"/>
  <c r="BW24" i="1"/>
  <c r="DS24" i="1"/>
  <c r="BZ23" i="1"/>
  <c r="DT23" i="1"/>
  <c r="DT59" i="1"/>
  <c r="BZ59" i="1"/>
  <c r="BE30" i="1"/>
  <c r="DM30" i="1"/>
  <c r="DV33" i="1"/>
  <c r="CF33" i="1"/>
  <c r="DQ50" i="1"/>
  <c r="BQ50" i="1"/>
  <c r="DR37" i="1"/>
  <c r="BT37" i="1"/>
  <c r="DO28" i="1"/>
  <c r="BK28" i="1"/>
  <c r="BK40" i="1"/>
  <c r="DO40" i="1"/>
  <c r="BN27" i="1"/>
  <c r="DP27" i="1"/>
  <c r="DN65" i="1"/>
  <c r="BH65" i="1"/>
  <c r="DO65" i="1" l="1"/>
  <c r="BK65" i="1"/>
  <c r="DW33" i="1"/>
  <c r="CI33" i="1"/>
  <c r="BT26" i="1"/>
  <c r="DR26" i="1"/>
  <c r="CF43" i="1"/>
  <c r="DV43" i="1"/>
  <c r="BW49" i="1"/>
  <c r="DS49" i="1"/>
  <c r="BK29" i="1"/>
  <c r="DO29" i="1"/>
  <c r="DT48" i="1"/>
  <c r="BZ48" i="1"/>
  <c r="DV22" i="1"/>
  <c r="CF22" i="1"/>
  <c r="BT38" i="1"/>
  <c r="DR38" i="1"/>
  <c r="CI34" i="1"/>
  <c r="DW34" i="1"/>
  <c r="BH66" i="1"/>
  <c r="DN66" i="1"/>
  <c r="DU58" i="1"/>
  <c r="CC58" i="1"/>
  <c r="BH42" i="1"/>
  <c r="DN42" i="1"/>
  <c r="DV47" i="1"/>
  <c r="CF47" i="1"/>
  <c r="DX21" i="1"/>
  <c r="CL21" i="1"/>
  <c r="CC23" i="1"/>
  <c r="DU23" i="1"/>
  <c r="DU35" i="1"/>
  <c r="CC35" i="1"/>
  <c r="CF45" i="1"/>
  <c r="DV45" i="1"/>
  <c r="BW61" i="1"/>
  <c r="DS61" i="1"/>
  <c r="DR62" i="1"/>
  <c r="BT62" i="1"/>
  <c r="CC59" i="1"/>
  <c r="DU59" i="1"/>
  <c r="CO19" i="1"/>
  <c r="DY19" i="1"/>
  <c r="BN64" i="1"/>
  <c r="DP64" i="1"/>
  <c r="DS37" i="1"/>
  <c r="BW37" i="1"/>
  <c r="DQ63" i="1"/>
  <c r="BQ63" i="1"/>
  <c r="BH54" i="1"/>
  <c r="DN54" i="1"/>
  <c r="DU56" i="1"/>
  <c r="CC56" i="1"/>
  <c r="DO41" i="1"/>
  <c r="BK41" i="1"/>
  <c r="DN30" i="1"/>
  <c r="BH30" i="1"/>
  <c r="DU60" i="1"/>
  <c r="CC60" i="1"/>
  <c r="CF46" i="1"/>
  <c r="DV46" i="1"/>
  <c r="DT24" i="1"/>
  <c r="BZ24" i="1"/>
  <c r="DT36" i="1"/>
  <c r="BZ36" i="1"/>
  <c r="DU57" i="1"/>
  <c r="CC57" i="1"/>
  <c r="BQ27" i="1"/>
  <c r="DQ27" i="1"/>
  <c r="BN52" i="1"/>
  <c r="DP52" i="1"/>
  <c r="CI31" i="1"/>
  <c r="DW31" i="1"/>
  <c r="BT50" i="1"/>
  <c r="DR50" i="1"/>
  <c r="DO53" i="1"/>
  <c r="BK53" i="1"/>
  <c r="DQ51" i="1"/>
  <c r="BQ51" i="1"/>
  <c r="CI32" i="1"/>
  <c r="DW32" i="1"/>
  <c r="CL20" i="1"/>
  <c r="DX20" i="1"/>
  <c r="DS25" i="1"/>
  <c r="BW25" i="1"/>
  <c r="DV44" i="1"/>
  <c r="CF44" i="1"/>
  <c r="DP40" i="1"/>
  <c r="BN40" i="1"/>
  <c r="CC55" i="1"/>
  <c r="DU55" i="1"/>
  <c r="DP28" i="1"/>
  <c r="BN28" i="1"/>
  <c r="DQ39" i="1"/>
  <c r="BQ39" i="1"/>
  <c r="BT39" i="1" l="1"/>
  <c r="DR39" i="1"/>
  <c r="DV60" i="1"/>
  <c r="CF60" i="1"/>
  <c r="DT37" i="1"/>
  <c r="BZ37" i="1"/>
  <c r="CF58" i="1"/>
  <c r="DV58" i="1"/>
  <c r="CO20" i="1"/>
  <c r="DY20" i="1"/>
  <c r="BQ52" i="1"/>
  <c r="DQ52" i="1"/>
  <c r="CI45" i="1"/>
  <c r="DW45" i="1"/>
  <c r="DP29" i="1"/>
  <c r="BN29" i="1"/>
  <c r="DQ28" i="1"/>
  <c r="BQ28" i="1"/>
  <c r="DO30" i="1"/>
  <c r="BK30" i="1"/>
  <c r="DV35" i="1"/>
  <c r="CF35" i="1"/>
  <c r="DV55" i="1"/>
  <c r="CF55" i="1"/>
  <c r="DZ19" i="1"/>
  <c r="CR19" i="1"/>
  <c r="DV56" i="1"/>
  <c r="CF56" i="1"/>
  <c r="DV59" i="1"/>
  <c r="CF59" i="1"/>
  <c r="BW38" i="1"/>
  <c r="DS38" i="1"/>
  <c r="DS26" i="1"/>
  <c r="BW26" i="1"/>
  <c r="DR27" i="1"/>
  <c r="BT27" i="1"/>
  <c r="DT49" i="1"/>
  <c r="BZ49" i="1"/>
  <c r="CF23" i="1"/>
  <c r="DV23" i="1"/>
  <c r="CC36" i="1"/>
  <c r="DU36" i="1"/>
  <c r="DW44" i="1"/>
  <c r="CI44" i="1"/>
  <c r="DU24" i="1"/>
  <c r="CC24" i="1"/>
  <c r="BW62" i="1"/>
  <c r="DS62" i="1"/>
  <c r="DW47" i="1"/>
  <c r="CI47" i="1"/>
  <c r="DW22" i="1"/>
  <c r="CI22" i="1"/>
  <c r="CL33" i="1"/>
  <c r="DX33" i="1"/>
  <c r="DX34" i="1"/>
  <c r="CL34" i="1"/>
  <c r="DS50" i="1"/>
  <c r="BW50" i="1"/>
  <c r="BK54" i="1"/>
  <c r="DO54" i="1"/>
  <c r="CL32" i="1"/>
  <c r="DX32" i="1"/>
  <c r="BK66" i="1"/>
  <c r="DO66" i="1"/>
  <c r="CF57" i="1"/>
  <c r="DV57" i="1"/>
  <c r="DP41" i="1"/>
  <c r="BN41" i="1"/>
  <c r="CI43" i="1"/>
  <c r="DW43" i="1"/>
  <c r="DP53" i="1"/>
  <c r="BN53" i="1"/>
  <c r="BZ25" i="1"/>
  <c r="DT25" i="1"/>
  <c r="DR63" i="1"/>
  <c r="BT63" i="1"/>
  <c r="CC48" i="1"/>
  <c r="DU48" i="1"/>
  <c r="DP65" i="1"/>
  <c r="BN65" i="1"/>
  <c r="DQ64" i="1"/>
  <c r="BQ64" i="1"/>
  <c r="BT51" i="1"/>
  <c r="DR51" i="1"/>
  <c r="BQ40" i="1"/>
  <c r="DQ40" i="1"/>
  <c r="DY21" i="1"/>
  <c r="CO21" i="1"/>
  <c r="CL31" i="1"/>
  <c r="DX31" i="1"/>
  <c r="CI46" i="1"/>
  <c r="DW46" i="1"/>
  <c r="BZ61" i="1"/>
  <c r="DT61" i="1"/>
  <c r="BK42" i="1"/>
  <c r="DO42" i="1"/>
  <c r="DP42" i="1" l="1"/>
  <c r="BN42" i="1"/>
  <c r="DS51" i="1"/>
  <c r="BW51" i="1"/>
  <c r="DP54" i="1"/>
  <c r="BN54" i="1"/>
  <c r="DT62" i="1"/>
  <c r="BZ62" i="1"/>
  <c r="BT52" i="1"/>
  <c r="DR52" i="1"/>
  <c r="BT64" i="1"/>
  <c r="DR64" i="1"/>
  <c r="DT50" i="1"/>
  <c r="BZ50" i="1"/>
  <c r="DV24" i="1"/>
  <c r="CF24" i="1"/>
  <c r="BZ26" i="1"/>
  <c r="DT26" i="1"/>
  <c r="DW35" i="1"/>
  <c r="CI35" i="1"/>
  <c r="DU61" i="1"/>
  <c r="CC61" i="1"/>
  <c r="DX43" i="1"/>
  <c r="CL43" i="1"/>
  <c r="CR20" i="1"/>
  <c r="DZ20" i="1"/>
  <c r="BQ53" i="1"/>
  <c r="DQ53" i="1"/>
  <c r="CI55" i="1"/>
  <c r="DW55" i="1"/>
  <c r="DX44" i="1"/>
  <c r="CL44" i="1"/>
  <c r="DW58" i="1"/>
  <c r="CI58" i="1"/>
  <c r="CO31" i="1"/>
  <c r="DY31" i="1"/>
  <c r="CO33" i="1"/>
  <c r="DY33" i="1"/>
  <c r="CR21" i="1"/>
  <c r="DZ21" i="1"/>
  <c r="BW63" i="1"/>
  <c r="DS63" i="1"/>
  <c r="CL22" i="1"/>
  <c r="DX22" i="1"/>
  <c r="CI56" i="1"/>
  <c r="DW56" i="1"/>
  <c r="DQ29" i="1"/>
  <c r="BQ29" i="1"/>
  <c r="CI60" i="1"/>
  <c r="DW60" i="1"/>
  <c r="CO34" i="1"/>
  <c r="DY34" i="1"/>
  <c r="BZ38" i="1"/>
  <c r="DT38" i="1"/>
  <c r="CI59" i="1"/>
  <c r="DW59" i="1"/>
  <c r="CF48" i="1"/>
  <c r="DV48" i="1"/>
  <c r="DP66" i="1"/>
  <c r="BN66" i="1"/>
  <c r="DW23" i="1"/>
  <c r="CI23" i="1"/>
  <c r="BQ65" i="1"/>
  <c r="DQ65" i="1"/>
  <c r="DQ41" i="1"/>
  <c r="BQ41" i="1"/>
  <c r="DP30" i="1"/>
  <c r="BN30" i="1"/>
  <c r="DU37" i="1"/>
  <c r="CC37" i="1"/>
  <c r="CI57" i="1"/>
  <c r="DW57" i="1"/>
  <c r="DX47" i="1"/>
  <c r="CL47" i="1"/>
  <c r="DU49" i="1"/>
  <c r="CC49" i="1"/>
  <c r="EA19" i="1"/>
  <c r="CU19" i="1"/>
  <c r="DS27" i="1"/>
  <c r="BW27" i="1"/>
  <c r="CL46" i="1"/>
  <c r="DX46" i="1"/>
  <c r="BT28" i="1"/>
  <c r="DR28" i="1"/>
  <c r="CF36" i="1"/>
  <c r="DV36" i="1"/>
  <c r="DR40" i="1"/>
  <c r="BT40" i="1"/>
  <c r="DU25" i="1"/>
  <c r="CC25" i="1"/>
  <c r="DY32" i="1"/>
  <c r="CO32" i="1"/>
  <c r="CL45" i="1"/>
  <c r="DX45" i="1"/>
  <c r="BW39" i="1"/>
  <c r="DS39" i="1"/>
  <c r="DT39" i="1" l="1"/>
  <c r="BZ39" i="1"/>
  <c r="CR31" i="1"/>
  <c r="DZ31" i="1"/>
  <c r="CO46" i="1"/>
  <c r="DY46" i="1"/>
  <c r="BW52" i="1"/>
  <c r="DS52" i="1"/>
  <c r="BQ30" i="1"/>
  <c r="DQ30" i="1"/>
  <c r="CF25" i="1"/>
  <c r="DV25" i="1"/>
  <c r="EB19" i="1"/>
  <c r="EF19" i="1"/>
  <c r="BT41" i="1"/>
  <c r="DR41" i="1"/>
  <c r="BQ54" i="1"/>
  <c r="DQ54" i="1"/>
  <c r="DY43" i="1"/>
  <c r="CO43" i="1"/>
  <c r="CL58" i="1"/>
  <c r="DX58" i="1"/>
  <c r="DY44" i="1"/>
  <c r="CO44" i="1"/>
  <c r="DU38" i="1"/>
  <c r="CC38" i="1"/>
  <c r="DT63" i="1"/>
  <c r="BZ63" i="1"/>
  <c r="CL55" i="1"/>
  <c r="DX55" i="1"/>
  <c r="CC26" i="1"/>
  <c r="DU26" i="1"/>
  <c r="DR29" i="1"/>
  <c r="BT29" i="1"/>
  <c r="DS28" i="1"/>
  <c r="BW28" i="1"/>
  <c r="DS64" i="1"/>
  <c r="BW64" i="1"/>
  <c r="DV37" i="1"/>
  <c r="CF37" i="1"/>
  <c r="CO45" i="1"/>
  <c r="DY45" i="1"/>
  <c r="DX56" i="1"/>
  <c r="CL56" i="1"/>
  <c r="DS40" i="1"/>
  <c r="BW40" i="1"/>
  <c r="CF49" i="1"/>
  <c r="DV49" i="1"/>
  <c r="CI24" i="1"/>
  <c r="DW24" i="1"/>
  <c r="DT51" i="1"/>
  <c r="BZ51" i="1"/>
  <c r="DQ66" i="1"/>
  <c r="BQ66" i="1"/>
  <c r="DV61" i="1"/>
  <c r="CF61" i="1"/>
  <c r="DX59" i="1"/>
  <c r="CL59" i="1"/>
  <c r="DR65" i="1"/>
  <c r="BT65" i="1"/>
  <c r="DZ34" i="1"/>
  <c r="CR34" i="1"/>
  <c r="CU21" i="1"/>
  <c r="EA21" i="1"/>
  <c r="BT53" i="1"/>
  <c r="DR53" i="1"/>
  <c r="BZ27" i="1"/>
  <c r="DT27" i="1"/>
  <c r="CC62" i="1"/>
  <c r="DU62" i="1"/>
  <c r="DY47" i="1"/>
  <c r="CO47" i="1"/>
  <c r="CL23" i="1"/>
  <c r="DX23" i="1"/>
  <c r="DU50" i="1"/>
  <c r="CC50" i="1"/>
  <c r="BQ42" i="1"/>
  <c r="DQ42" i="1"/>
  <c r="CL57" i="1"/>
  <c r="DX57" i="1"/>
  <c r="DW48" i="1"/>
  <c r="CI48" i="1"/>
  <c r="CR32" i="1"/>
  <c r="DZ32" i="1"/>
  <c r="CL35" i="1"/>
  <c r="DX35" i="1"/>
  <c r="CO22" i="1"/>
  <c r="DY22" i="1"/>
  <c r="DW36" i="1"/>
  <c r="CI36" i="1"/>
  <c r="CL60" i="1"/>
  <c r="DX60" i="1"/>
  <c r="CR33" i="1"/>
  <c r="DZ33" i="1"/>
  <c r="CU20" i="1"/>
  <c r="EA20" i="1"/>
  <c r="CR47" i="1" l="1"/>
  <c r="DZ47" i="1"/>
  <c r="DS65" i="1"/>
  <c r="BW65" i="1"/>
  <c r="BZ28" i="1"/>
  <c r="DT28" i="1"/>
  <c r="DZ44" i="1"/>
  <c r="CR44" i="1"/>
  <c r="EB20" i="1"/>
  <c r="EF20" i="1"/>
  <c r="EA32" i="1"/>
  <c r="CU32" i="1"/>
  <c r="CI49" i="1"/>
  <c r="DW49" i="1"/>
  <c r="DW25" i="1"/>
  <c r="CI25" i="1"/>
  <c r="DX48" i="1"/>
  <c r="CL48" i="1"/>
  <c r="CO59" i="1"/>
  <c r="DY59" i="1"/>
  <c r="DT40" i="1"/>
  <c r="BZ40" i="1"/>
  <c r="BW29" i="1"/>
  <c r="DS29" i="1"/>
  <c r="DY56" i="1"/>
  <c r="CO56" i="1"/>
  <c r="DY57" i="1"/>
  <c r="CO57" i="1"/>
  <c r="BT42" i="1"/>
  <c r="DR42" i="1"/>
  <c r="BW53" i="1"/>
  <c r="DS53" i="1"/>
  <c r="CR45" i="1"/>
  <c r="DZ45" i="1"/>
  <c r="CO55" i="1"/>
  <c r="DY55" i="1"/>
  <c r="BT54" i="1"/>
  <c r="DR54" i="1"/>
  <c r="CR46" i="1"/>
  <c r="DZ46" i="1"/>
  <c r="CR43" i="1"/>
  <c r="DZ43" i="1"/>
  <c r="CC27" i="1"/>
  <c r="DU27" i="1"/>
  <c r="DV26" i="1"/>
  <c r="CF26" i="1"/>
  <c r="DV50" i="1"/>
  <c r="CF50" i="1"/>
  <c r="CC51" i="1"/>
  <c r="DU51" i="1"/>
  <c r="DW37" i="1"/>
  <c r="CI37" i="1"/>
  <c r="DU63" i="1"/>
  <c r="CC63" i="1"/>
  <c r="CU33" i="1"/>
  <c r="EA33" i="1"/>
  <c r="CO58" i="1"/>
  <c r="DY58" i="1"/>
  <c r="DZ22" i="1"/>
  <c r="CR22" i="1"/>
  <c r="EF21" i="1"/>
  <c r="EB21" i="1"/>
  <c r="DS41" i="1"/>
  <c r="BW41" i="1"/>
  <c r="EA31" i="1"/>
  <c r="CU31" i="1"/>
  <c r="DV62" i="1"/>
  <c r="CF62" i="1"/>
  <c r="BT30" i="1"/>
  <c r="DR30" i="1"/>
  <c r="DW61" i="1"/>
  <c r="CI61" i="1"/>
  <c r="DY60" i="1"/>
  <c r="CO60" i="1"/>
  <c r="DT52" i="1"/>
  <c r="BZ52" i="1"/>
  <c r="DR66" i="1"/>
  <c r="BT66" i="1"/>
  <c r="CU34" i="1"/>
  <c r="EA34" i="1"/>
  <c r="BZ64" i="1"/>
  <c r="DT64" i="1"/>
  <c r="DV38" i="1"/>
  <c r="CF38" i="1"/>
  <c r="CC39" i="1"/>
  <c r="DU39" i="1"/>
  <c r="CL36" i="1"/>
  <c r="DX36" i="1"/>
  <c r="DY35" i="1"/>
  <c r="CO35" i="1"/>
  <c r="CO23" i="1"/>
  <c r="DY23" i="1"/>
  <c r="DX24" i="1"/>
  <c r="CL24" i="1"/>
  <c r="EC19" i="1"/>
  <c r="EG19" i="1" s="1"/>
  <c r="EI19" i="1" s="1"/>
  <c r="ED19" i="1"/>
  <c r="DW38" i="1" l="1"/>
  <c r="CI38" i="1"/>
  <c r="DX61" i="1"/>
  <c r="CL61" i="1"/>
  <c r="EA22" i="1"/>
  <c r="CU22" i="1"/>
  <c r="DW50" i="1"/>
  <c r="CI50" i="1"/>
  <c r="EF32" i="1"/>
  <c r="EB32" i="1"/>
  <c r="CO24" i="1"/>
  <c r="DY24" i="1"/>
  <c r="CR55" i="1"/>
  <c r="DZ55" i="1"/>
  <c r="DT29" i="1"/>
  <c r="BZ29" i="1"/>
  <c r="DW26" i="1"/>
  <c r="CI26" i="1"/>
  <c r="DU40" i="1"/>
  <c r="CC40" i="1"/>
  <c r="EI20" i="1"/>
  <c r="CU43" i="1"/>
  <c r="EA43" i="1"/>
  <c r="DS42" i="1"/>
  <c r="BW42" i="1"/>
  <c r="CC28" i="1"/>
  <c r="DU28" i="1"/>
  <c r="DU64" i="1"/>
  <c r="CC64" i="1"/>
  <c r="DW62" i="1"/>
  <c r="CI62" i="1"/>
  <c r="CF63" i="1"/>
  <c r="DV63" i="1"/>
  <c r="CO48" i="1"/>
  <c r="DY48" i="1"/>
  <c r="CO36" i="1"/>
  <c r="DY36" i="1"/>
  <c r="DU52" i="1"/>
  <c r="CC52" i="1"/>
  <c r="BZ41" i="1"/>
  <c r="DT41" i="1"/>
  <c r="CL37" i="1"/>
  <c r="DX37" i="1"/>
  <c r="DZ57" i="1"/>
  <c r="CR57" i="1"/>
  <c r="DX25" i="1"/>
  <c r="CL25" i="1"/>
  <c r="BZ65" i="1"/>
  <c r="DT65" i="1"/>
  <c r="BW30" i="1"/>
  <c r="DS30" i="1"/>
  <c r="EC20" i="1"/>
  <c r="EG20" i="1" s="1"/>
  <c r="ED20" i="1"/>
  <c r="DZ35" i="1"/>
  <c r="CR35" i="1"/>
  <c r="DV27" i="1"/>
  <c r="CF27" i="1"/>
  <c r="CU46" i="1"/>
  <c r="EA46" i="1"/>
  <c r="CR58" i="1"/>
  <c r="DZ58" i="1"/>
  <c r="CU45" i="1"/>
  <c r="EA45" i="1"/>
  <c r="CR23" i="1"/>
  <c r="DZ23" i="1"/>
  <c r="CU44" i="1"/>
  <c r="EA44" i="1"/>
  <c r="EB33" i="1"/>
  <c r="EF33" i="1"/>
  <c r="BZ53" i="1"/>
  <c r="DT53" i="1"/>
  <c r="EF31" i="1"/>
  <c r="EB31" i="1"/>
  <c r="CF39" i="1"/>
  <c r="DV39" i="1"/>
  <c r="DZ60" i="1"/>
  <c r="CR60" i="1"/>
  <c r="EC21" i="1"/>
  <c r="EG21" i="1" s="1"/>
  <c r="EI21" i="1" s="1"/>
  <c r="ED21" i="1"/>
  <c r="DZ56" i="1"/>
  <c r="CR56" i="1"/>
  <c r="EF34" i="1"/>
  <c r="EB34" i="1"/>
  <c r="DZ59" i="1"/>
  <c r="CR59" i="1"/>
  <c r="BW66" i="1"/>
  <c r="DS66" i="1"/>
  <c r="CF51" i="1"/>
  <c r="DV51" i="1"/>
  <c r="DS54" i="1"/>
  <c r="BW54" i="1"/>
  <c r="DX49" i="1"/>
  <c r="CL49" i="1"/>
  <c r="EA47" i="1"/>
  <c r="CU47" i="1"/>
  <c r="EF44" i="1" l="1"/>
  <c r="EB44" i="1"/>
  <c r="DX26" i="1"/>
  <c r="CL26" i="1"/>
  <c r="DV64" i="1"/>
  <c r="CF64" i="1"/>
  <c r="CO61" i="1"/>
  <c r="DY61" i="1"/>
  <c r="DV52" i="1"/>
  <c r="CF52" i="1"/>
  <c r="CU56" i="1"/>
  <c r="EA56" i="1"/>
  <c r="EA57" i="1"/>
  <c r="CU57" i="1"/>
  <c r="CU60" i="1"/>
  <c r="EA60" i="1"/>
  <c r="CU23" i="1"/>
  <c r="EA23" i="1"/>
  <c r="DU41" i="1"/>
  <c r="CC41" i="1"/>
  <c r="DT66" i="1"/>
  <c r="BZ66" i="1"/>
  <c r="DW39" i="1"/>
  <c r="CI39" i="1"/>
  <c r="EB45" i="1"/>
  <c r="EF45" i="1"/>
  <c r="BZ30" i="1"/>
  <c r="DT30" i="1"/>
  <c r="CF28" i="1"/>
  <c r="DV28" i="1"/>
  <c r="CL38" i="1"/>
  <c r="DX38" i="1"/>
  <c r="EI32" i="1"/>
  <c r="DV40" i="1"/>
  <c r="CF40" i="1"/>
  <c r="CL62" i="1"/>
  <c r="DX62" i="1"/>
  <c r="EA59" i="1"/>
  <c r="CU59" i="1"/>
  <c r="ED31" i="1"/>
  <c r="EC31" i="1"/>
  <c r="EG31" i="1" s="1"/>
  <c r="EI31" i="1" s="1"/>
  <c r="BZ42" i="1"/>
  <c r="DT42" i="1"/>
  <c r="EA55" i="1"/>
  <c r="CU55" i="1"/>
  <c r="BZ54" i="1"/>
  <c r="DT54" i="1"/>
  <c r="CI63" i="1"/>
  <c r="DW63" i="1"/>
  <c r="EB22" i="1"/>
  <c r="EF22" i="1"/>
  <c r="DU29" i="1"/>
  <c r="CC29" i="1"/>
  <c r="EB47" i="1"/>
  <c r="EF47" i="1"/>
  <c r="CU58" i="1"/>
  <c r="EA58" i="1"/>
  <c r="CC65" i="1"/>
  <c r="DU65" i="1"/>
  <c r="CR36" i="1"/>
  <c r="DZ36" i="1"/>
  <c r="EC34" i="1"/>
  <c r="EG34" i="1" s="1"/>
  <c r="EI34" i="1" s="1"/>
  <c r="ED34" i="1"/>
  <c r="DY25" i="1"/>
  <c r="CO25" i="1"/>
  <c r="CR24" i="1"/>
  <c r="DZ24" i="1"/>
  <c r="DW27" i="1"/>
  <c r="CI27" i="1"/>
  <c r="EC33" i="1"/>
  <c r="EG33" i="1" s="1"/>
  <c r="EI33" i="1" s="1"/>
  <c r="ED33" i="1"/>
  <c r="DX50" i="1"/>
  <c r="CL50" i="1"/>
  <c r="EA35" i="1"/>
  <c r="CU35" i="1"/>
  <c r="CO37" i="1"/>
  <c r="DY37" i="1"/>
  <c r="CI51" i="1"/>
  <c r="DW51" i="1"/>
  <c r="CO49" i="1"/>
  <c r="DY49" i="1"/>
  <c r="CC53" i="1"/>
  <c r="DU53" i="1"/>
  <c r="EF46" i="1"/>
  <c r="EB46" i="1"/>
  <c r="CR48" i="1"/>
  <c r="DZ48" i="1"/>
  <c r="EF43" i="1"/>
  <c r="EB43" i="1"/>
  <c r="ED32" i="1"/>
  <c r="EC32" i="1"/>
  <c r="EG32" i="1" s="1"/>
  <c r="DW64" i="1" l="1"/>
  <c r="CI64" i="1"/>
  <c r="DU54" i="1"/>
  <c r="CC54" i="1"/>
  <c r="DU66" i="1"/>
  <c r="CC66" i="1"/>
  <c r="DW52" i="1"/>
  <c r="CI52" i="1"/>
  <c r="EC43" i="1"/>
  <c r="EG43" i="1" s="1"/>
  <c r="EI43" i="1" s="1"/>
  <c r="ED43" i="1"/>
  <c r="CL51" i="1"/>
  <c r="DX51" i="1"/>
  <c r="EB58" i="1"/>
  <c r="EF58" i="1"/>
  <c r="EB55" i="1"/>
  <c r="EF55" i="1"/>
  <c r="CU24" i="1"/>
  <c r="EA24" i="1"/>
  <c r="DV41" i="1"/>
  <c r="CF41" i="1"/>
  <c r="CI28" i="1"/>
  <c r="DW28" i="1"/>
  <c r="DZ37" i="1"/>
  <c r="CR37" i="1"/>
  <c r="CR61" i="1"/>
  <c r="DZ61" i="1"/>
  <c r="EF35" i="1"/>
  <c r="EB35" i="1"/>
  <c r="CC42" i="1"/>
  <c r="DU42" i="1"/>
  <c r="EC46" i="1"/>
  <c r="EG46" i="1" s="1"/>
  <c r="ED46" i="1"/>
  <c r="DY50" i="1"/>
  <c r="CO50" i="1"/>
  <c r="EB59" i="1"/>
  <c r="EF59" i="1"/>
  <c r="CF53" i="1"/>
  <c r="DV53" i="1"/>
  <c r="EC22" i="1"/>
  <c r="EG22" i="1" s="1"/>
  <c r="EI22" i="1" s="1"/>
  <c r="ED22" i="1"/>
  <c r="EI45" i="1"/>
  <c r="EF57" i="1"/>
  <c r="EB57" i="1"/>
  <c r="EC44" i="1"/>
  <c r="EG44" i="1" s="1"/>
  <c r="EI44" i="1" s="1"/>
  <c r="ED44" i="1"/>
  <c r="EA36" i="1"/>
  <c r="CU36" i="1"/>
  <c r="ED45" i="1"/>
  <c r="EC45" i="1"/>
  <c r="EG45" i="1" s="1"/>
  <c r="CR25" i="1"/>
  <c r="DZ25" i="1"/>
  <c r="DY38" i="1"/>
  <c r="CO38" i="1"/>
  <c r="ED47" i="1"/>
  <c r="EC47" i="1"/>
  <c r="EG47" i="1" s="1"/>
  <c r="EI47" i="1" s="1"/>
  <c r="EI46" i="1"/>
  <c r="EF60" i="1"/>
  <c r="EB60" i="1"/>
  <c r="CL27" i="1"/>
  <c r="DX27" i="1"/>
  <c r="CL63" i="1"/>
  <c r="DX63" i="1"/>
  <c r="CO62" i="1"/>
  <c r="DY62" i="1"/>
  <c r="CL39" i="1"/>
  <c r="DX39" i="1"/>
  <c r="EA48" i="1"/>
  <c r="CU48" i="1"/>
  <c r="CF29" i="1"/>
  <c r="DV29" i="1"/>
  <c r="EF23" i="1"/>
  <c r="EB23" i="1"/>
  <c r="DY26" i="1"/>
  <c r="CO26" i="1"/>
  <c r="CC30" i="1"/>
  <c r="DU30" i="1"/>
  <c r="CR49" i="1"/>
  <c r="DZ49" i="1"/>
  <c r="DV65" i="1"/>
  <c r="CF65" i="1"/>
  <c r="DW40" i="1"/>
  <c r="CI40" i="1"/>
  <c r="EB56" i="1"/>
  <c r="EF56" i="1"/>
  <c r="DW41" i="1" l="1"/>
  <c r="CI41" i="1"/>
  <c r="CU49" i="1"/>
  <c r="EA49" i="1"/>
  <c r="CO39" i="1"/>
  <c r="DY39" i="1"/>
  <c r="DZ62" i="1"/>
  <c r="CR62" i="1"/>
  <c r="DZ26" i="1"/>
  <c r="CR26" i="1"/>
  <c r="EA25" i="1"/>
  <c r="CU25" i="1"/>
  <c r="ED35" i="1"/>
  <c r="EC35" i="1"/>
  <c r="EG35" i="1" s="1"/>
  <c r="EB48" i="1"/>
  <c r="EF48" i="1"/>
  <c r="CL28" i="1"/>
  <c r="DX28" i="1"/>
  <c r="CR38" i="1"/>
  <c r="DZ38" i="1"/>
  <c r="DV30" i="1"/>
  <c r="CF30" i="1"/>
  <c r="CF66" i="1"/>
  <c r="DV66" i="1"/>
  <c r="DY63" i="1"/>
  <c r="CO63" i="1"/>
  <c r="EI35" i="1"/>
  <c r="EI55" i="1"/>
  <c r="DV54" i="1"/>
  <c r="CF54" i="1"/>
  <c r="DW65" i="1"/>
  <c r="CI65" i="1"/>
  <c r="CO51" i="1"/>
  <c r="DY51" i="1"/>
  <c r="EC57" i="1"/>
  <c r="EG57" i="1" s="1"/>
  <c r="ED57" i="1"/>
  <c r="ED23" i="1"/>
  <c r="EC23" i="1"/>
  <c r="EG23" i="1" s="1"/>
  <c r="EI23" i="1" s="1"/>
  <c r="CI53" i="1"/>
  <c r="DW53" i="1"/>
  <c r="ED55" i="1"/>
  <c r="EC55" i="1"/>
  <c r="EG55" i="1" s="1"/>
  <c r="ED56" i="1"/>
  <c r="EC56" i="1"/>
  <c r="EG56" i="1" s="1"/>
  <c r="EI56" i="1" s="1"/>
  <c r="CO27" i="1"/>
  <c r="DY27" i="1"/>
  <c r="EA61" i="1"/>
  <c r="CU61" i="1"/>
  <c r="EI58" i="1"/>
  <c r="DX64" i="1"/>
  <c r="CL64" i="1"/>
  <c r="DZ50" i="1"/>
  <c r="CR50" i="1"/>
  <c r="DX52" i="1"/>
  <c r="CL52" i="1"/>
  <c r="EF24" i="1"/>
  <c r="EB24" i="1"/>
  <c r="CL40" i="1"/>
  <c r="DX40" i="1"/>
  <c r="ED60" i="1"/>
  <c r="EC60" i="1"/>
  <c r="EG60" i="1" s="1"/>
  <c r="EF36" i="1"/>
  <c r="EB36" i="1"/>
  <c r="ED59" i="1"/>
  <c r="EC59" i="1"/>
  <c r="EG59" i="1" s="1"/>
  <c r="EI59" i="1" s="1"/>
  <c r="EA37" i="1"/>
  <c r="CU37" i="1"/>
  <c r="EC58" i="1"/>
  <c r="EG58" i="1" s="1"/>
  <c r="ED58" i="1"/>
  <c r="EI57" i="1"/>
  <c r="DV42" i="1"/>
  <c r="CF42" i="1"/>
  <c r="CI29" i="1"/>
  <c r="DW29" i="1"/>
  <c r="EI60" i="1"/>
  <c r="CR51" i="1" l="1"/>
  <c r="DZ51" i="1"/>
  <c r="CU50" i="1"/>
  <c r="EA50" i="1"/>
  <c r="CL65" i="1"/>
  <c r="DX65" i="1"/>
  <c r="EA62" i="1"/>
  <c r="CU62" i="1"/>
  <c r="EA38" i="1"/>
  <c r="CU38" i="1"/>
  <c r="CR39" i="1"/>
  <c r="DZ39" i="1"/>
  <c r="EC36" i="1"/>
  <c r="EG36" i="1" s="1"/>
  <c r="ED36" i="1"/>
  <c r="CI54" i="1"/>
  <c r="DW54" i="1"/>
  <c r="EI48" i="1"/>
  <c r="DW42" i="1"/>
  <c r="CI42" i="1"/>
  <c r="EF61" i="1"/>
  <c r="EB61" i="1"/>
  <c r="EC48" i="1"/>
  <c r="EG48" i="1" s="1"/>
  <c r="ED48" i="1"/>
  <c r="CL41" i="1"/>
  <c r="DX41" i="1"/>
  <c r="CO40" i="1"/>
  <c r="DY40" i="1"/>
  <c r="ED24" i="1"/>
  <c r="EC24" i="1"/>
  <c r="EG24" i="1" s="1"/>
  <c r="EI24" i="1" s="1"/>
  <c r="EB25" i="1"/>
  <c r="EF25" i="1"/>
  <c r="DY64" i="1"/>
  <c r="CO64" i="1"/>
  <c r="DX53" i="1"/>
  <c r="CL53" i="1"/>
  <c r="DZ27" i="1"/>
  <c r="CR27" i="1"/>
  <c r="CI66" i="1"/>
  <c r="DW66" i="1"/>
  <c r="EI36" i="1"/>
  <c r="CO28" i="1"/>
  <c r="DY28" i="1"/>
  <c r="CL29" i="1"/>
  <c r="DX29" i="1"/>
  <c r="EF49" i="1"/>
  <c r="EB49" i="1"/>
  <c r="CR63" i="1"/>
  <c r="DZ63" i="1"/>
  <c r="EF37" i="1"/>
  <c r="EB37" i="1"/>
  <c r="DY52" i="1"/>
  <c r="CO52" i="1"/>
  <c r="CI30" i="1"/>
  <c r="DW30" i="1"/>
  <c r="EA26" i="1"/>
  <c r="CU26" i="1"/>
  <c r="ED61" i="1" l="1"/>
  <c r="EC61" i="1"/>
  <c r="EG61" i="1" s="1"/>
  <c r="EI61" i="1" s="1"/>
  <c r="CR28" i="1"/>
  <c r="DZ28" i="1"/>
  <c r="DZ52" i="1"/>
  <c r="CR52" i="1"/>
  <c r="EC37" i="1"/>
  <c r="EG37" i="1" s="1"/>
  <c r="ED37" i="1"/>
  <c r="DX66" i="1"/>
  <c r="CL66" i="1"/>
  <c r="DX54" i="1"/>
  <c r="CL54" i="1"/>
  <c r="EF50" i="1"/>
  <c r="EB50" i="1"/>
  <c r="CO29" i="1"/>
  <c r="DY29" i="1"/>
  <c r="DX30" i="1"/>
  <c r="CL30" i="1"/>
  <c r="EI37" i="1"/>
  <c r="DZ40" i="1"/>
  <c r="CR40" i="1"/>
  <c r="EA51" i="1"/>
  <c r="CU51" i="1"/>
  <c r="CO41" i="1"/>
  <c r="DY41" i="1"/>
  <c r="EC25" i="1"/>
  <c r="EG25" i="1" s="1"/>
  <c r="EI25" i="1" s="1"/>
  <c r="ED25" i="1"/>
  <c r="CO65" i="1"/>
  <c r="DY65" i="1"/>
  <c r="EA27" i="1"/>
  <c r="CU27" i="1"/>
  <c r="ED49" i="1"/>
  <c r="EC49" i="1"/>
  <c r="EG49" i="1" s="1"/>
  <c r="DY53" i="1"/>
  <c r="CO53" i="1"/>
  <c r="EA39" i="1"/>
  <c r="CU39" i="1"/>
  <c r="EB26" i="1"/>
  <c r="EF26" i="1"/>
  <c r="DZ64" i="1"/>
  <c r="CR64" i="1"/>
  <c r="EB62" i="1"/>
  <c r="EF62" i="1"/>
  <c r="CL42" i="1"/>
  <c r="DX42" i="1"/>
  <c r="CU63" i="1"/>
  <c r="EA63" i="1"/>
  <c r="EI49" i="1"/>
  <c r="EF38" i="1"/>
  <c r="EB38" i="1"/>
  <c r="EC62" i="1" l="1"/>
  <c r="EG62" i="1" s="1"/>
  <c r="ED62" i="1"/>
  <c r="EI62" i="1"/>
  <c r="CU52" i="1"/>
  <c r="EA52" i="1"/>
  <c r="ED26" i="1"/>
  <c r="EC26" i="1"/>
  <c r="EG26" i="1" s="1"/>
  <c r="EI26" i="1" s="1"/>
  <c r="EI38" i="1"/>
  <c r="EF39" i="1"/>
  <c r="EB39" i="1"/>
  <c r="ED50" i="1"/>
  <c r="EC50" i="1"/>
  <c r="EG50" i="1" s="1"/>
  <c r="DZ65" i="1"/>
  <c r="CR65" i="1"/>
  <c r="DZ41" i="1"/>
  <c r="CR41" i="1"/>
  <c r="EI50" i="1"/>
  <c r="EA40" i="1"/>
  <c r="CU40" i="1"/>
  <c r="CU64" i="1"/>
  <c r="EA64" i="1"/>
  <c r="DZ53" i="1"/>
  <c r="CR53" i="1"/>
  <c r="DY54" i="1"/>
  <c r="CO54" i="1"/>
  <c r="CU28" i="1"/>
  <c r="EA28" i="1"/>
  <c r="EF63" i="1"/>
  <c r="EB63" i="1"/>
  <c r="EB51" i="1"/>
  <c r="EF51" i="1"/>
  <c r="DY42" i="1"/>
  <c r="CO42" i="1"/>
  <c r="EF27" i="1"/>
  <c r="EB27" i="1"/>
  <c r="CO30" i="1"/>
  <c r="DY30" i="1"/>
  <c r="EC38" i="1"/>
  <c r="EG38" i="1" s="1"/>
  <c r="ED38" i="1"/>
  <c r="CR29" i="1"/>
  <c r="DZ29" i="1"/>
  <c r="DY66" i="1"/>
  <c r="CO66" i="1"/>
  <c r="CR42" i="1" l="1"/>
  <c r="DZ42" i="1"/>
  <c r="EF64" i="1"/>
  <c r="EB64" i="1"/>
  <c r="CR66" i="1"/>
  <c r="DZ66" i="1"/>
  <c r="EF40" i="1"/>
  <c r="EB40" i="1"/>
  <c r="ED51" i="1"/>
  <c r="EC51" i="1"/>
  <c r="EG51" i="1" s="1"/>
  <c r="EI51" i="1" s="1"/>
  <c r="CU29" i="1"/>
  <c r="EA29" i="1"/>
  <c r="EB52" i="1"/>
  <c r="EF52" i="1"/>
  <c r="EB28" i="1"/>
  <c r="EF28" i="1"/>
  <c r="EA65" i="1"/>
  <c r="CU65" i="1"/>
  <c r="EC27" i="1"/>
  <c r="EG27" i="1" s="1"/>
  <c r="EI27" i="1" s="1"/>
  <c r="ED27" i="1"/>
  <c r="EA41" i="1"/>
  <c r="CU41" i="1"/>
  <c r="DZ54" i="1"/>
  <c r="CR54" i="1"/>
  <c r="EA53" i="1"/>
  <c r="CU53" i="1"/>
  <c r="EC39" i="1"/>
  <c r="EG39" i="1" s="1"/>
  <c r="EI39" i="1" s="1"/>
  <c r="ED39" i="1"/>
  <c r="ED63" i="1"/>
  <c r="EC63" i="1"/>
  <c r="EG63" i="1" s="1"/>
  <c r="EI63" i="1" s="1"/>
  <c r="DZ30" i="1"/>
  <c r="CR30" i="1"/>
  <c r="EB65" i="1" l="1"/>
  <c r="EF65" i="1"/>
  <c r="EC64" i="1"/>
  <c r="EG64" i="1" s="1"/>
  <c r="ED64" i="1"/>
  <c r="EB53" i="1"/>
  <c r="EF53" i="1"/>
  <c r="ED52" i="1"/>
  <c r="EC52" i="1"/>
  <c r="EG52" i="1" s="1"/>
  <c r="EI52" i="1" s="1"/>
  <c r="EA30" i="1"/>
  <c r="CU30" i="1"/>
  <c r="ED40" i="1"/>
  <c r="EC40" i="1"/>
  <c r="EG40" i="1" s="1"/>
  <c r="EC28" i="1"/>
  <c r="EG28" i="1" s="1"/>
  <c r="EI28" i="1" s="1"/>
  <c r="ED28" i="1"/>
  <c r="EI64" i="1"/>
  <c r="CU54" i="1"/>
  <c r="EA54" i="1"/>
  <c r="EF41" i="1"/>
  <c r="EB41" i="1"/>
  <c r="EA42" i="1"/>
  <c r="CU42" i="1"/>
  <c r="EI40" i="1"/>
  <c r="CU66" i="1"/>
  <c r="EA66" i="1"/>
  <c r="EF29" i="1"/>
  <c r="EB29" i="1"/>
  <c r="EB30" i="1" l="1"/>
  <c r="EF30" i="1"/>
  <c r="EI53" i="1"/>
  <c r="EF54" i="1"/>
  <c r="EB54" i="1"/>
  <c r="ED29" i="1"/>
  <c r="EC29" i="1"/>
  <c r="EG29" i="1" s="1"/>
  <c r="EI29" i="1" s="1"/>
  <c r="EB42" i="1"/>
  <c r="EF42" i="1"/>
  <c r="ED41" i="1"/>
  <c r="EC41" i="1"/>
  <c r="EG41" i="1" s="1"/>
  <c r="EI41" i="1"/>
  <c r="EC53" i="1"/>
  <c r="EG53" i="1" s="1"/>
  <c r="ED53" i="1"/>
  <c r="ED65" i="1"/>
  <c r="EC65" i="1"/>
  <c r="EG65" i="1" s="1"/>
  <c r="EI65" i="1" s="1"/>
  <c r="EF66" i="1"/>
  <c r="EB66" i="1"/>
  <c r="EC42" i="1" l="1"/>
  <c r="EG42" i="1" s="1"/>
  <c r="ED42" i="1"/>
  <c r="EC54" i="1"/>
  <c r="EG54" i="1" s="1"/>
  <c r="EI54" i="1" s="1"/>
  <c r="ED54" i="1"/>
  <c r="EI42" i="1"/>
  <c r="EC66" i="1"/>
  <c r="EG66" i="1" s="1"/>
  <c r="EI66" i="1" s="1"/>
  <c r="ED66" i="1"/>
  <c r="EC30" i="1"/>
  <c r="EG30" i="1" s="1"/>
  <c r="EI30" i="1" s="1"/>
  <c r="ED30" i="1"/>
  <c r="EL19" i="1" l="1"/>
  <c r="EM19" i="1"/>
  <c r="EK19" i="1"/>
</calcChain>
</file>

<file path=xl/sharedStrings.xml><?xml version="1.0" encoding="utf-8"?>
<sst xmlns="http://schemas.openxmlformats.org/spreadsheetml/2006/main" count="187" uniqueCount="177">
  <si>
    <t>Data ke 74 (Skenario 2 integrasi)</t>
  </si>
  <si>
    <t>Parameter DWA</t>
  </si>
  <si>
    <t>Nilai</t>
  </si>
  <si>
    <t>Satuan</t>
  </si>
  <si>
    <t>Diketahui</t>
  </si>
  <si>
    <t>Max V</t>
  </si>
  <si>
    <t>m/s</t>
  </si>
  <si>
    <t>Xt</t>
  </si>
  <si>
    <t>Min V</t>
  </si>
  <si>
    <t>Yt</t>
  </si>
  <si>
    <t>Max Accel</t>
  </si>
  <si>
    <t>Theta_t</t>
  </si>
  <si>
    <t>Max delta yaw</t>
  </si>
  <si>
    <t>rad/s</t>
  </si>
  <si>
    <t>Vt</t>
  </si>
  <si>
    <t>Resolusi V</t>
  </si>
  <si>
    <t>Omega_t</t>
  </si>
  <si>
    <t>Update state</t>
  </si>
  <si>
    <t>resolusi yaw</t>
  </si>
  <si>
    <t>Goals x</t>
  </si>
  <si>
    <t>dt</t>
  </si>
  <si>
    <t>s</t>
  </si>
  <si>
    <t>Goals y</t>
  </si>
  <si>
    <t>predict time</t>
  </si>
  <si>
    <t>X obs</t>
  </si>
  <si>
    <t>Goal cost</t>
  </si>
  <si>
    <t>Y obs</t>
  </si>
  <si>
    <t>Speed cost</t>
  </si>
  <si>
    <t>Distance obstacle</t>
  </si>
  <si>
    <t>Obstacle (distance) cost</t>
  </si>
  <si>
    <t>distance to target</t>
  </si>
  <si>
    <t>Theta target</t>
  </si>
  <si>
    <t>2. Membentuk kandidat (Vr)</t>
  </si>
  <si>
    <t>3. Prediksi Lintasan</t>
  </si>
  <si>
    <t>4. Evaluasi Lintasan</t>
  </si>
  <si>
    <t>5. Lintasan Terbaik</t>
  </si>
  <si>
    <t>Kendala dinamik (Vd)</t>
  </si>
  <si>
    <t>Kandidat</t>
  </si>
  <si>
    <t>Dynamic Window</t>
  </si>
  <si>
    <t>Distance obstacle cost tiap langkah</t>
  </si>
  <si>
    <t>Head_cost</t>
  </si>
  <si>
    <t>Dist_cost</t>
  </si>
  <si>
    <t>Vel_cost</t>
  </si>
  <si>
    <t>G</t>
  </si>
  <si>
    <t>G_min</t>
  </si>
  <si>
    <t>V_CMD</t>
  </si>
  <si>
    <t>OMEGA_CMD</t>
  </si>
  <si>
    <t>a. Kendala Kinematik (Vs)</t>
  </si>
  <si>
    <t>V</t>
  </si>
  <si>
    <t>Omega</t>
  </si>
  <si>
    <t>No</t>
  </si>
  <si>
    <t>x+1</t>
  </si>
  <si>
    <t>y+1</t>
  </si>
  <si>
    <t>theta+1</t>
  </si>
  <si>
    <t>x+2</t>
  </si>
  <si>
    <t>y+2</t>
  </si>
  <si>
    <t>theta+2</t>
  </si>
  <si>
    <t>x+3</t>
  </si>
  <si>
    <t>y+3</t>
  </si>
  <si>
    <t>theta+3</t>
  </si>
  <si>
    <t>x+4</t>
  </si>
  <si>
    <t>y+4</t>
  </si>
  <si>
    <t>theta+4</t>
  </si>
  <si>
    <t>x+5</t>
  </si>
  <si>
    <t>y+5</t>
  </si>
  <si>
    <t>theta+5</t>
  </si>
  <si>
    <t>x+6</t>
  </si>
  <si>
    <t>y+6</t>
  </si>
  <si>
    <t>theta+6</t>
  </si>
  <si>
    <t>x+7</t>
  </si>
  <si>
    <t>y+7</t>
  </si>
  <si>
    <t>theta+7</t>
  </si>
  <si>
    <t>x+8</t>
  </si>
  <si>
    <t>y+8</t>
  </si>
  <si>
    <t>theta+8</t>
  </si>
  <si>
    <t>x+9</t>
  </si>
  <si>
    <t>y+9</t>
  </si>
  <si>
    <t>theta+9</t>
  </si>
  <si>
    <t>x+10</t>
  </si>
  <si>
    <t>y+10</t>
  </si>
  <si>
    <t>theta+10</t>
  </si>
  <si>
    <t>x+11</t>
  </si>
  <si>
    <t>y+11</t>
  </si>
  <si>
    <t>theta+11</t>
  </si>
  <si>
    <t>x+12</t>
  </si>
  <si>
    <t>y+12</t>
  </si>
  <si>
    <t>theta+12</t>
  </si>
  <si>
    <t>x+13</t>
  </si>
  <si>
    <t>y+13</t>
  </si>
  <si>
    <t>theta+13</t>
  </si>
  <si>
    <t>x+14</t>
  </si>
  <si>
    <t>y+14</t>
  </si>
  <si>
    <t>theta+14</t>
  </si>
  <si>
    <t>x+15</t>
  </si>
  <si>
    <t>y+15</t>
  </si>
  <si>
    <t>theta+15</t>
  </si>
  <si>
    <t>x+16</t>
  </si>
  <si>
    <t>y+16</t>
  </si>
  <si>
    <t>theta+16</t>
  </si>
  <si>
    <t>x+17</t>
  </si>
  <si>
    <t>y+17</t>
  </si>
  <si>
    <t>theta+17</t>
  </si>
  <si>
    <t>x+18</t>
  </si>
  <si>
    <t>y+18</t>
  </si>
  <si>
    <t>theta+18</t>
  </si>
  <si>
    <t>x+19</t>
  </si>
  <si>
    <t>y+19</t>
  </si>
  <si>
    <t>theta+19</t>
  </si>
  <si>
    <t>x+20</t>
  </si>
  <si>
    <t>y+20</t>
  </si>
  <si>
    <t>theta+20</t>
  </si>
  <si>
    <t>x+21</t>
  </si>
  <si>
    <t>y+21</t>
  </si>
  <si>
    <t>theta+21</t>
  </si>
  <si>
    <t>x+22</t>
  </si>
  <si>
    <t>y+22</t>
  </si>
  <si>
    <t>theta+22</t>
  </si>
  <si>
    <t>x+23</t>
  </si>
  <si>
    <t>y+23</t>
  </si>
  <si>
    <t>theta+23</t>
  </si>
  <si>
    <t>x+24</t>
  </si>
  <si>
    <t>y+24</t>
  </si>
  <si>
    <t>theta+24</t>
  </si>
  <si>
    <t>x+25</t>
  </si>
  <si>
    <t>y+25</t>
  </si>
  <si>
    <t>theta+25</t>
  </si>
  <si>
    <t>x+26</t>
  </si>
  <si>
    <t>y+26</t>
  </si>
  <si>
    <t>theta+26</t>
  </si>
  <si>
    <t>x+27</t>
  </si>
  <si>
    <t>y+27</t>
  </si>
  <si>
    <t>theta+27</t>
  </si>
  <si>
    <t>x+28</t>
  </si>
  <si>
    <t>y+28</t>
  </si>
  <si>
    <t>theta+28</t>
  </si>
  <si>
    <t>x+29</t>
  </si>
  <si>
    <t>y+29</t>
  </si>
  <si>
    <t>theta+29</t>
  </si>
  <si>
    <t>x+30</t>
  </si>
  <si>
    <t>y+30</t>
  </si>
  <si>
    <t>theta+30</t>
  </si>
  <si>
    <t>t+1</t>
  </si>
  <si>
    <t>t+2</t>
  </si>
  <si>
    <t>t+3</t>
  </si>
  <si>
    <t>t+4</t>
  </si>
  <si>
    <t>t+5</t>
  </si>
  <si>
    <t>t+6</t>
  </si>
  <si>
    <t>t+7</t>
  </si>
  <si>
    <t>t+8</t>
  </si>
  <si>
    <t>t+9</t>
  </si>
  <si>
    <t>t+10</t>
  </si>
  <si>
    <t>t+11</t>
  </si>
  <si>
    <t>t+12</t>
  </si>
  <si>
    <t>t+13</t>
  </si>
  <si>
    <t>t+14</t>
  </si>
  <si>
    <t>t+15</t>
  </si>
  <si>
    <t>t+16</t>
  </si>
  <si>
    <t>t+17</t>
  </si>
  <si>
    <t>t+18</t>
  </si>
  <si>
    <t>t+19</t>
  </si>
  <si>
    <t>t+20</t>
  </si>
  <si>
    <t>t+21</t>
  </si>
  <si>
    <t>t+22</t>
  </si>
  <si>
    <t>t+23</t>
  </si>
  <si>
    <t>t+24</t>
  </si>
  <si>
    <t>t+25</t>
  </si>
  <si>
    <t>t+26</t>
  </si>
  <si>
    <t>t+27</t>
  </si>
  <si>
    <t>t+28</t>
  </si>
  <si>
    <t>t+29</t>
  </si>
  <si>
    <t>t+30</t>
  </si>
  <si>
    <t>Min</t>
  </si>
  <si>
    <t>Max</t>
  </si>
  <si>
    <t>Vs = {(v,w) | v E  [ -0.3, 0.9], w E [-1,5708, 1,5708]</t>
  </si>
  <si>
    <t>b. Kendala Dinamik (Vd)</t>
  </si>
  <si>
    <t>c. Kendala penghindaran rintangan (Va)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</si>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</sst>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/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7" xfId="0" applyBorder="1"/>
    <xf numFmtId="3" fontId="0" fillId="0" borderId="0" xfId="0" applyNumberFormat="1"/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2" fillId="0" borderId="2" xfId="0" applyFont="1" applyBorder="1"/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/>
    <xf numFmtId="0" fontId="2" fillId="0" borderId="6" xfId="0" applyFont="1" applyBorder="1"/>
    <xf numFmtId="0" fontId="2" fillId="0" borderId="5" xfId="0" applyFont="1" applyBorder="1"/>
    <xf numFmtId="0" fontId="0" fillId="0" borderId="7" xfId="0" applyBorder="1" applyAlignment="1">
      <alignment horizontal="center"/>
    </xf>
    <xf numFmtId="0" fontId="0" fillId="0" borderId="15" xfId="0" applyBorder="1"/>
    <xf numFmtId="0" fontId="0" fillId="0" borderId="9" xfId="0" applyBorder="1"/>
    <xf numFmtId="0" fontId="0" fillId="0" borderId="8" xfId="0" applyBorder="1"/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1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218173</xdr:colOff>
      <xdr:row>18</xdr:row>
      <xdr:rowOff>76601</xdr:rowOff>
    </xdr:from>
    <xdr:to>
      <xdr:col>4</xdr:col>
      <xdr:colOff>119471</xdr:colOff>
      <xdr:row>19</xdr:row>
      <xdr:rowOff>99460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2D5357-0588-4FD4-8EFD-9531781E4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773" y="3658001"/>
          <a:ext cx="3261718" cy="205739"/>
        </a:xfrm>
        <a:prstGeom prst="rect">
          <a:avLst/>
        </a:prstGeom>
      </xdr:spPr>
    </xdr:pic>
    <xdr:clientData/>
  </xdr:twoCellAnchor>
  <xdr:twoCellAnchor editAs="oneCell">
    <xdr:from>
      <xdr:col>1</xdr:col>
      <xdr:colOff>243841</xdr:colOff>
      <xdr:row>22</xdr:row>
      <xdr:rowOff>83820</xdr:rowOff>
    </xdr:from>
    <xdr:to>
      <xdr:col>4</xdr:col>
      <xdr:colOff>76200</xdr:colOff>
      <xdr:row>24</xdr:row>
      <xdr:rowOff>155780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18DD47-7E9B-495C-AEBA-0345B7E64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2441" y="4404360"/>
          <a:ext cx="3192779" cy="437720"/>
        </a:xfrm>
        <a:prstGeom prst="rect">
          <a:avLst/>
        </a:prstGeom>
      </xdr:spPr>
    </xdr:pic>
    <xdr:clientData/>
  </xdr:twoCellAnchor>
  <xdr:twoCellAnchor editAs="oneCell">
    <xdr:from>
      <xdr:col>1</xdr:col>
      <xdr:colOff>967740</xdr:colOff>
      <xdr:row>29</xdr:row>
      <xdr:rowOff>106680</xdr:rowOff>
    </xdr:from>
    <xdr:to>
      <xdr:col>2</xdr:col>
      <xdr:colOff>548640</xdr:colOff>
      <xdr:row>31</xdr:row>
      <xdr:rowOff>141760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A051A7-C181-4790-91C9-9A958236E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6340" y="5707380"/>
          <a:ext cx="1036320" cy="400840"/>
        </a:xfrm>
        <a:prstGeom prst="rect">
          <a:avLst/>
        </a:prstGeom>
      </xdr:spPr>
    </xdr:pic>
    <xdr:clientData/>
  </xdr:twoCellAnchor>
  <xdr:twoCellAnchor editAs="oneCell">
    <xdr:from>
      <xdr:col>11</xdr:col>
      <xdr:colOff>4636</xdr:colOff>
      <xdr:row>7</xdr:row>
      <xdr:rowOff>115290</xdr:rowOff>
    </xdr:from>
    <xdr:to>
      <xdr:col>18</xdr:col>
      <xdr:colOff>157419</xdr:colOff>
      <xdr:row>13</xdr:row>
      <xdr:rowOff>93433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C981288-B790-4A86-ADA7-4FD1E6E98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27656" y="1654530"/>
          <a:ext cx="4419983" cy="1075423"/>
        </a:xfrm>
        <a:prstGeom prst="rect">
          <a:avLst/>
        </a:prstGeom>
      </xdr:spPr>
    </xdr:pic>
    <xdr:clientData/>
  </xdr:twoCellAnchor>
  <xdr:twoCellAnchor editAs="oneCell">
    <xdr:from>
      <xdr:col>1</xdr:col>
      <xdr:colOff>774388</xdr:colOff>
      <xdr:row>33</xdr:row>
      <xdr:rowOff>82096</xdr:rowOff>
    </xdr:from>
    <xdr:to>
      <xdr:col>1</xdr:col>
      <xdr:colOff>1387853</xdr:colOff>
      <xdr:row>35</xdr:row>
      <xdr:rowOff>117176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21DDC59-2380-4665-BDBE-CC7D030C9F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40764"/>
        <a:stretch>
          <a:fillRect/>
        </a:stretch>
      </xdr:blipFill>
      <xdr:spPr>
        <a:xfrm>
          <a:off x="1002988" y="6414316"/>
          <a:ext cx="613465" cy="400840"/>
        </a:xfrm>
        <a:prstGeom prst="rect">
          <a:avLst/>
        </a:prstGeom>
      </xdr:spPr>
    </xdr:pic>
    <xdr:clientData/>
  </xdr:twoCellAnchor>
  <xdr:twoCellAnchor editAs="oneCell">
    <xdr:from>
      <xdr:col>1</xdr:col>
      <xdr:colOff>248653</xdr:colOff>
      <xdr:row>18</xdr:row>
      <xdr:rowOff>76601</xdr:rowOff>
    </xdr:from>
    <xdr:to>
      <xdr:col>4</xdr:col>
      <xdr:colOff>149951</xdr:colOff>
      <xdr:row>19</xdr:row>
      <xdr:rowOff>99460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39854DB-10D4-43CD-A1CA-485487FA6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7253" y="3658001"/>
          <a:ext cx="3261718" cy="205739"/>
        </a:xfrm>
        <a:prstGeom prst="rect">
          <a:avLst/>
        </a:prstGeom>
      </xdr:spPr>
    </xdr:pic>
    <xdr:clientData/>
  </xdr:twoCellAnchor>
  <xdr:twoCellAnchor editAs="oneCell">
    <xdr:from>
      <xdr:col>1</xdr:col>
      <xdr:colOff>243841</xdr:colOff>
      <xdr:row>22</xdr:row>
      <xdr:rowOff>83820</xdr:rowOff>
    </xdr:from>
    <xdr:to>
      <xdr:col>4</xdr:col>
      <xdr:colOff>76200</xdr:colOff>
      <xdr:row>24</xdr:row>
      <xdr:rowOff>155780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4E807C4-DA65-4684-AF76-A544A7D7F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2441" y="4404360"/>
          <a:ext cx="3192779" cy="437720"/>
        </a:xfrm>
        <a:prstGeom prst="rect">
          <a:avLst/>
        </a:prstGeom>
      </xdr:spPr>
    </xdr:pic>
    <xdr:clientData/>
  </xdr:twoCellAnchor>
  <xdr:twoCellAnchor editAs="oneCell">
    <xdr:from>
      <xdr:col>1</xdr:col>
      <xdr:colOff>967740</xdr:colOff>
      <xdr:row>29</xdr:row>
      <xdr:rowOff>106680</xdr:rowOff>
    </xdr:from>
    <xdr:to>
      <xdr:col>2</xdr:col>
      <xdr:colOff>548640</xdr:colOff>
      <xdr:row>31</xdr:row>
      <xdr:rowOff>141760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D7E017C-1010-4C76-BBBE-221772911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6340" y="5707380"/>
          <a:ext cx="1036320" cy="400840"/>
        </a:xfrm>
        <a:prstGeom prst="rect">
          <a:avLst/>
        </a:prstGeom>
      </xdr:spPr>
    </xdr:pic>
    <xdr:clientData/>
  </xdr:twoCellAnchor>
  <xdr:twoCellAnchor editAs="oneCell">
    <xdr:from>
      <xdr:col>1</xdr:col>
      <xdr:colOff>774388</xdr:colOff>
      <xdr:row>33</xdr:row>
      <xdr:rowOff>82096</xdr:rowOff>
    </xdr:from>
    <xdr:to>
      <xdr:col>1</xdr:col>
      <xdr:colOff>1387853</xdr:colOff>
      <xdr:row>35</xdr:row>
      <xdr:rowOff>117176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39ACE78-F81A-4A83-A952-7A4E9AE97C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40764"/>
        <a:stretch>
          <a:fillRect/>
        </a:stretch>
      </xdr:blipFill>
      <xdr:spPr>
        <a:xfrm>
          <a:off x="1002988" y="6414316"/>
          <a:ext cx="613465" cy="400840"/>
        </a:xfrm>
        <a:prstGeom prst="rect">
          <a:avLst/>
        </a:prstGeom>
      </xdr:spPr>
    </xdr:pic>
    <xdr:clientData/>
  </xdr:twoCellAnchor>
  <xdr:twoCellAnchor editAs="oneCell">
    <xdr:from>
      <xdr:col>134</xdr:col>
      <xdr:colOff>55816</xdr:colOff>
      <xdr:row>13</xdr:row>
      <xdr:rowOff>141131</xdr:rowOff>
    </xdr:from>
    <xdr:to>
      <xdr:col>139</xdr:col>
      <xdr:colOff>132884</xdr:colOff>
      <xdr:row>14</xdr:row>
      <xdr:rowOff>152736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3D7F265-7661-40E1-9BDE-B1CD39128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959636" y="2777651"/>
          <a:ext cx="3269848" cy="1944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55CB7-B0F7-4490-8F29-85D9CA09CB21}">
  <dimension ref="B1:EM67"/>
  <sheetViews>
    <sheetView tabSelected="1" zoomScaleNormal="100" workbookViewId="0">
      <selection activeCell="E13" sqref="E13"/>
    </sheetView>
  </sheetViews>
  <sheetFormatPr defaultRowHeight="14.4" x14ac:dyDescent="0.3"/>
  <cols>
    <col min="1" max="1" width="3.33203125" customWidth="1"/>
    <col min="2" max="2" width="21.21875" customWidth="1"/>
    <col min="3" max="3" width="18.88671875" customWidth="1"/>
    <col min="6" max="6" width="17.33203125" customWidth="1"/>
    <col min="7" max="7" width="20.21875" customWidth="1"/>
    <col min="9" max="9" width="4.6640625" customWidth="1"/>
    <col min="136" max="136" width="10" customWidth="1"/>
    <col min="137" max="137" width="9.88671875" customWidth="1"/>
    <col min="143" max="143" width="13.6640625" customWidth="1"/>
  </cols>
  <sheetData>
    <row r="1" spans="2:141" ht="34.200000000000003" customHeight="1" thickBot="1" x14ac:dyDescent="0.35">
      <c r="B1" s="41" t="s">
        <v>0</v>
      </c>
      <c r="C1" s="41"/>
      <c r="D1" s="41"/>
      <c r="E1" s="41"/>
      <c r="F1" s="41"/>
      <c r="G1" s="41"/>
    </row>
    <row r="2" spans="2:141" ht="15" thickBot="1" x14ac:dyDescent="0.35">
      <c r="B2" s="1" t="s">
        <v>1</v>
      </c>
      <c r="C2" s="2" t="s">
        <v>2</v>
      </c>
      <c r="D2" s="3" t="s">
        <v>3</v>
      </c>
      <c r="F2" s="2" t="s">
        <v>4</v>
      </c>
      <c r="G2" s="2" t="s">
        <v>2</v>
      </c>
      <c r="I2" s="4"/>
    </row>
    <row r="3" spans="2:141" x14ac:dyDescent="0.3">
      <c r="B3" s="5" t="s">
        <v>5</v>
      </c>
      <c r="C3" s="6">
        <v>0.9</v>
      </c>
      <c r="D3" s="7" t="s">
        <v>6</v>
      </c>
      <c r="F3" s="8" t="s">
        <v>7</v>
      </c>
      <c r="G3" s="8">
        <v>-7.5640000000000001</v>
      </c>
    </row>
    <row r="4" spans="2:141" x14ac:dyDescent="0.3">
      <c r="B4" s="5" t="s">
        <v>8</v>
      </c>
      <c r="C4" s="6">
        <v>-0.3</v>
      </c>
      <c r="D4" s="7" t="s">
        <v>6</v>
      </c>
      <c r="F4" s="8" t="s">
        <v>9</v>
      </c>
      <c r="G4" s="8">
        <v>5.2910000000000004</v>
      </c>
    </row>
    <row r="5" spans="2:141" x14ac:dyDescent="0.3">
      <c r="B5" s="5" t="s">
        <v>10</v>
      </c>
      <c r="C5" s="6">
        <v>1</v>
      </c>
      <c r="D5" s="7" t="s">
        <v>6</v>
      </c>
      <c r="F5" s="8" t="s">
        <v>11</v>
      </c>
      <c r="G5" s="8">
        <v>2.2828906999999998</v>
      </c>
    </row>
    <row r="6" spans="2:141" x14ac:dyDescent="0.3">
      <c r="B6" s="5" t="s">
        <v>12</v>
      </c>
      <c r="C6" s="9">
        <v>3.1415899999999999</v>
      </c>
      <c r="D6" s="7" t="s">
        <v>13</v>
      </c>
      <c r="F6" s="8" t="s">
        <v>14</v>
      </c>
      <c r="G6" s="8">
        <v>0.23899999999999999</v>
      </c>
    </row>
    <row r="7" spans="2:141" x14ac:dyDescent="0.3">
      <c r="B7" s="5" t="s">
        <v>15</v>
      </c>
      <c r="C7" s="6">
        <v>0.05</v>
      </c>
      <c r="D7" s="7" t="s">
        <v>6</v>
      </c>
      <c r="F7" s="8" t="s">
        <v>16</v>
      </c>
      <c r="G7" s="8">
        <v>-6.54E-2</v>
      </c>
      <c r="L7" t="s">
        <v>17</v>
      </c>
    </row>
    <row r="8" spans="2:141" x14ac:dyDescent="0.3">
      <c r="B8" s="5" t="s">
        <v>18</v>
      </c>
      <c r="C8" s="6">
        <v>5.2359900000000001E-2</v>
      </c>
      <c r="D8" s="7" t="s">
        <v>13</v>
      </c>
      <c r="F8" s="8" t="s">
        <v>19</v>
      </c>
      <c r="G8" s="8">
        <v>-36.244</v>
      </c>
    </row>
    <row r="9" spans="2:141" x14ac:dyDescent="0.3">
      <c r="B9" s="5" t="s">
        <v>20</v>
      </c>
      <c r="C9" s="6">
        <v>0.1</v>
      </c>
      <c r="D9" s="7" t="s">
        <v>21</v>
      </c>
      <c r="F9" s="8" t="s">
        <v>22</v>
      </c>
      <c r="G9" s="8">
        <v>25.161000000000001</v>
      </c>
    </row>
    <row r="10" spans="2:141" x14ac:dyDescent="0.3">
      <c r="B10" s="5" t="s">
        <v>23</v>
      </c>
      <c r="C10" s="6">
        <v>3</v>
      </c>
      <c r="D10" s="7" t="s">
        <v>21</v>
      </c>
      <c r="F10" s="8" t="s">
        <v>24</v>
      </c>
      <c r="G10" s="8">
        <v>-8.0759699999999999</v>
      </c>
    </row>
    <row r="11" spans="2:141" x14ac:dyDescent="0.3">
      <c r="B11" s="5" t="s">
        <v>25</v>
      </c>
      <c r="C11" s="6">
        <v>1</v>
      </c>
      <c r="D11" s="7"/>
      <c r="F11" s="8" t="s">
        <v>26</v>
      </c>
      <c r="G11" s="8">
        <v>4.0364500000000003</v>
      </c>
    </row>
    <row r="12" spans="2:141" x14ac:dyDescent="0.3">
      <c r="B12" s="5" t="s">
        <v>27</v>
      </c>
      <c r="C12" s="6">
        <v>1.5</v>
      </c>
      <c r="D12" s="7"/>
      <c r="F12" s="8" t="s">
        <v>28</v>
      </c>
      <c r="G12" s="8">
        <f>SQRT((G10-G3)^2 + (G11-G4)^2)</f>
        <v>1.3549940898026087</v>
      </c>
    </row>
    <row r="13" spans="2:141" x14ac:dyDescent="0.3">
      <c r="B13" s="42" t="s">
        <v>29</v>
      </c>
      <c r="C13" s="42">
        <v>1.8</v>
      </c>
      <c r="D13" s="7"/>
      <c r="F13" s="8" t="s">
        <v>30</v>
      </c>
      <c r="G13" s="8">
        <f>SQRT((G9-G4)^2 + (G8-G3)^2)</f>
        <v>34.890676405022589</v>
      </c>
    </row>
    <row r="14" spans="2:141" ht="15" thickBot="1" x14ac:dyDescent="0.35">
      <c r="B14" s="43"/>
      <c r="C14" s="43"/>
      <c r="D14" s="12"/>
      <c r="F14" s="13" t="s">
        <v>31</v>
      </c>
      <c r="G14" s="13">
        <f>ATAN2(G8-G3,G9-G4)</f>
        <v>2.5357035812033275</v>
      </c>
      <c r="H14" s="14"/>
    </row>
    <row r="15" spans="2:141" x14ac:dyDescent="0.3">
      <c r="B15" s="15"/>
      <c r="C15" s="15"/>
      <c r="D15" s="4"/>
      <c r="H15" s="14"/>
    </row>
    <row r="16" spans="2:141" ht="15" thickBot="1" x14ac:dyDescent="0.35">
      <c r="B16" s="44" t="s">
        <v>32</v>
      </c>
      <c r="C16" s="44"/>
      <c r="D16" s="44"/>
      <c r="E16" s="44"/>
      <c r="G16" s="45" t="s">
        <v>33</v>
      </c>
      <c r="H16" s="45"/>
      <c r="I16" s="44"/>
      <c r="J16" s="44"/>
      <c r="K16" s="44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Y16" s="16" t="s">
        <v>34</v>
      </c>
      <c r="EK16" s="16" t="s">
        <v>35</v>
      </c>
    </row>
    <row r="17" spans="2:143" ht="15" thickBot="1" x14ac:dyDescent="0.35">
      <c r="G17" s="35" t="s">
        <v>36</v>
      </c>
      <c r="H17" s="36"/>
      <c r="I17" s="37" t="s">
        <v>37</v>
      </c>
      <c r="J17" s="38"/>
      <c r="K17" s="39"/>
      <c r="L17" s="36" t="s">
        <v>38</v>
      </c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40"/>
      <c r="CY17" s="48" t="s">
        <v>39</v>
      </c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P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B17" s="49"/>
      <c r="EC17" s="49"/>
      <c r="ED17" s="50"/>
      <c r="EF17" s="46" t="s">
        <v>40</v>
      </c>
      <c r="EG17" s="46" t="s">
        <v>41</v>
      </c>
      <c r="EH17" s="46" t="s">
        <v>42</v>
      </c>
      <c r="EI17" s="46" t="s">
        <v>43</v>
      </c>
      <c r="EK17" s="46" t="s">
        <v>44</v>
      </c>
      <c r="EL17" s="46" t="s">
        <v>45</v>
      </c>
      <c r="EM17" s="46" t="s">
        <v>46</v>
      </c>
    </row>
    <row r="18" spans="2:143" ht="15" thickBot="1" x14ac:dyDescent="0.35">
      <c r="B18" s="4" t="s">
        <v>47</v>
      </c>
      <c r="G18" s="21" t="s">
        <v>48</v>
      </c>
      <c r="H18" s="21" t="s">
        <v>49</v>
      </c>
      <c r="I18" s="22" t="s">
        <v>50</v>
      </c>
      <c r="J18" s="22" t="s">
        <v>48</v>
      </c>
      <c r="K18" s="22" t="s">
        <v>49</v>
      </c>
      <c r="L18" s="17" t="s">
        <v>51</v>
      </c>
      <c r="M18" s="18" t="s">
        <v>52</v>
      </c>
      <c r="N18" s="19" t="s">
        <v>53</v>
      </c>
      <c r="O18" s="17" t="s">
        <v>54</v>
      </c>
      <c r="P18" s="18" t="s">
        <v>55</v>
      </c>
      <c r="Q18" s="19" t="s">
        <v>56</v>
      </c>
      <c r="R18" s="17" t="s">
        <v>57</v>
      </c>
      <c r="S18" s="18" t="s">
        <v>58</v>
      </c>
      <c r="T18" s="19" t="s">
        <v>59</v>
      </c>
      <c r="U18" s="17" t="s">
        <v>60</v>
      </c>
      <c r="V18" s="18" t="s">
        <v>61</v>
      </c>
      <c r="W18" s="19" t="s">
        <v>62</v>
      </c>
      <c r="X18" s="17" t="s">
        <v>63</v>
      </c>
      <c r="Y18" s="18" t="s">
        <v>64</v>
      </c>
      <c r="Z18" s="19" t="s">
        <v>65</v>
      </c>
      <c r="AA18" s="17" t="s">
        <v>66</v>
      </c>
      <c r="AB18" s="18" t="s">
        <v>67</v>
      </c>
      <c r="AC18" s="19" t="s">
        <v>68</v>
      </c>
      <c r="AD18" s="17" t="s">
        <v>69</v>
      </c>
      <c r="AE18" s="18" t="s">
        <v>70</v>
      </c>
      <c r="AF18" s="19" t="s">
        <v>71</v>
      </c>
      <c r="AG18" s="17" t="s">
        <v>72</v>
      </c>
      <c r="AH18" s="18" t="s">
        <v>73</v>
      </c>
      <c r="AI18" s="19" t="s">
        <v>74</v>
      </c>
      <c r="AJ18" s="17" t="s">
        <v>75</v>
      </c>
      <c r="AK18" s="18" t="s">
        <v>76</v>
      </c>
      <c r="AL18" s="19" t="s">
        <v>77</v>
      </c>
      <c r="AM18" s="17" t="s">
        <v>78</v>
      </c>
      <c r="AN18" s="18" t="s">
        <v>79</v>
      </c>
      <c r="AO18" s="19" t="s">
        <v>80</v>
      </c>
      <c r="AP18" s="17" t="s">
        <v>81</v>
      </c>
      <c r="AQ18" s="18" t="s">
        <v>82</v>
      </c>
      <c r="AR18" s="19" t="s">
        <v>83</v>
      </c>
      <c r="AS18" s="17" t="s">
        <v>84</v>
      </c>
      <c r="AT18" s="18" t="s">
        <v>85</v>
      </c>
      <c r="AU18" s="19" t="s">
        <v>86</v>
      </c>
      <c r="AV18" s="17" t="s">
        <v>87</v>
      </c>
      <c r="AW18" s="18" t="s">
        <v>88</v>
      </c>
      <c r="AX18" s="19" t="s">
        <v>89</v>
      </c>
      <c r="AY18" s="17" t="s">
        <v>90</v>
      </c>
      <c r="AZ18" s="18" t="s">
        <v>91</v>
      </c>
      <c r="BA18" s="19" t="s">
        <v>92</v>
      </c>
      <c r="BB18" s="17" t="s">
        <v>93</v>
      </c>
      <c r="BC18" s="18" t="s">
        <v>94</v>
      </c>
      <c r="BD18" s="19" t="s">
        <v>95</v>
      </c>
      <c r="BE18" s="17" t="s">
        <v>96</v>
      </c>
      <c r="BF18" s="18" t="s">
        <v>97</v>
      </c>
      <c r="BG18" s="19" t="s">
        <v>98</v>
      </c>
      <c r="BH18" s="17" t="s">
        <v>99</v>
      </c>
      <c r="BI18" s="18" t="s">
        <v>100</v>
      </c>
      <c r="BJ18" s="19" t="s">
        <v>101</v>
      </c>
      <c r="BK18" s="17" t="s">
        <v>102</v>
      </c>
      <c r="BL18" s="18" t="s">
        <v>103</v>
      </c>
      <c r="BM18" s="19" t="s">
        <v>104</v>
      </c>
      <c r="BN18" s="17" t="s">
        <v>105</v>
      </c>
      <c r="BO18" s="18" t="s">
        <v>106</v>
      </c>
      <c r="BP18" s="19" t="s">
        <v>107</v>
      </c>
      <c r="BQ18" s="17" t="s">
        <v>108</v>
      </c>
      <c r="BR18" s="18" t="s">
        <v>109</v>
      </c>
      <c r="BS18" s="19" t="s">
        <v>110</v>
      </c>
      <c r="BT18" s="17" t="s">
        <v>111</v>
      </c>
      <c r="BU18" s="18" t="s">
        <v>112</v>
      </c>
      <c r="BV18" s="19" t="s">
        <v>113</v>
      </c>
      <c r="BW18" s="17" t="s">
        <v>114</v>
      </c>
      <c r="BX18" s="18" t="s">
        <v>115</v>
      </c>
      <c r="BY18" s="19" t="s">
        <v>116</v>
      </c>
      <c r="BZ18" s="17" t="s">
        <v>117</v>
      </c>
      <c r="CA18" s="18" t="s">
        <v>118</v>
      </c>
      <c r="CB18" s="19" t="s">
        <v>119</v>
      </c>
      <c r="CC18" s="17" t="s">
        <v>120</v>
      </c>
      <c r="CD18" s="18" t="s">
        <v>121</v>
      </c>
      <c r="CE18" s="19" t="s">
        <v>122</v>
      </c>
      <c r="CF18" s="17" t="s">
        <v>123</v>
      </c>
      <c r="CG18" s="18" t="s">
        <v>124</v>
      </c>
      <c r="CH18" s="19" t="s">
        <v>125</v>
      </c>
      <c r="CI18" s="17" t="s">
        <v>126</v>
      </c>
      <c r="CJ18" s="18" t="s">
        <v>127</v>
      </c>
      <c r="CK18" s="19" t="s">
        <v>128</v>
      </c>
      <c r="CL18" s="17" t="s">
        <v>129</v>
      </c>
      <c r="CM18" s="18" t="s">
        <v>130</v>
      </c>
      <c r="CN18" s="19" t="s">
        <v>131</v>
      </c>
      <c r="CO18" s="17" t="s">
        <v>132</v>
      </c>
      <c r="CP18" s="18" t="s">
        <v>133</v>
      </c>
      <c r="CQ18" s="19" t="s">
        <v>134</v>
      </c>
      <c r="CR18" s="17" t="s">
        <v>135</v>
      </c>
      <c r="CS18" s="18" t="s">
        <v>136</v>
      </c>
      <c r="CT18" s="19" t="s">
        <v>137</v>
      </c>
      <c r="CU18" s="17" t="s">
        <v>138</v>
      </c>
      <c r="CV18" s="18" t="s">
        <v>139</v>
      </c>
      <c r="CW18" s="19" t="s">
        <v>140</v>
      </c>
      <c r="CY18" s="2" t="s">
        <v>141</v>
      </c>
      <c r="CZ18" s="2" t="s">
        <v>142</v>
      </c>
      <c r="DA18" s="2" t="s">
        <v>143</v>
      </c>
      <c r="DB18" s="2" t="s">
        <v>144</v>
      </c>
      <c r="DC18" s="2" t="s">
        <v>145</v>
      </c>
      <c r="DD18" s="2" t="s">
        <v>146</v>
      </c>
      <c r="DE18" s="2" t="s">
        <v>147</v>
      </c>
      <c r="DF18" s="2" t="s">
        <v>148</v>
      </c>
      <c r="DG18" s="2" t="s">
        <v>149</v>
      </c>
      <c r="DH18" s="2" t="s">
        <v>150</v>
      </c>
      <c r="DI18" s="2" t="s">
        <v>151</v>
      </c>
      <c r="DJ18" s="2" t="s">
        <v>152</v>
      </c>
      <c r="DK18" s="2" t="s">
        <v>153</v>
      </c>
      <c r="DL18" s="2" t="s">
        <v>154</v>
      </c>
      <c r="DM18" s="2" t="s">
        <v>155</v>
      </c>
      <c r="DN18" s="2" t="s">
        <v>156</v>
      </c>
      <c r="DO18" s="20" t="s">
        <v>157</v>
      </c>
      <c r="DP18" s="2" t="s">
        <v>158</v>
      </c>
      <c r="DQ18" s="20" t="s">
        <v>159</v>
      </c>
      <c r="DR18" s="2" t="s">
        <v>160</v>
      </c>
      <c r="DS18" s="20" t="s">
        <v>161</v>
      </c>
      <c r="DT18" s="2" t="s">
        <v>162</v>
      </c>
      <c r="DU18" s="20" t="s">
        <v>163</v>
      </c>
      <c r="DV18" s="2" t="s">
        <v>164</v>
      </c>
      <c r="DW18" s="20" t="s">
        <v>165</v>
      </c>
      <c r="DX18" s="2" t="s">
        <v>166</v>
      </c>
      <c r="DY18" s="20" t="s">
        <v>167</v>
      </c>
      <c r="DZ18" s="2" t="s">
        <v>168</v>
      </c>
      <c r="EA18" s="20" t="s">
        <v>169</v>
      </c>
      <c r="EB18" s="2" t="s">
        <v>170</v>
      </c>
      <c r="EC18" s="20" t="s">
        <v>171</v>
      </c>
      <c r="ED18" s="2" t="s">
        <v>172</v>
      </c>
      <c r="EF18" s="51"/>
      <c r="EG18" s="51"/>
      <c r="EH18" s="51"/>
      <c r="EI18" s="51"/>
      <c r="EK18" s="47"/>
      <c r="EL18" s="47"/>
      <c r="EM18" s="47"/>
    </row>
    <row r="19" spans="2:143" ht="15" thickBot="1" x14ac:dyDescent="0.35">
      <c r="G19" s="10">
        <f>C26</f>
        <v>0.13899999999999998</v>
      </c>
      <c r="H19" s="10">
        <f>C27</f>
        <v>-0.37955900000000004</v>
      </c>
      <c r="I19" s="6">
        <v>1</v>
      </c>
      <c r="J19" s="6">
        <f>INDEX($G$19:$G$22,INT((I19-1)/12)+1)</f>
        <v>0.13899999999999998</v>
      </c>
      <c r="K19" s="6">
        <f>INDEX($H$19:$H$30,MOD(I19-1,12)+1)</f>
        <v>-0.37955900000000004</v>
      </c>
      <c r="L19" s="23">
        <f>$G$3+$J19*COS($G$5)*0.1</f>
        <v>-7.5730825467994256</v>
      </c>
      <c r="M19">
        <f>$G$4+$J19*SIN($G$5)*0.1</f>
        <v>5.301522230924868</v>
      </c>
      <c r="N19" s="24">
        <f>$G$5+$K19*0.1</f>
        <v>2.2449347999999998</v>
      </c>
      <c r="O19" s="23">
        <f>L19+$J19*COS(N19)*0.1</f>
        <v>-7.581759267140165</v>
      </c>
      <c r="P19">
        <f>M19+$J19*SIN(N19)*0.1</f>
        <v>5.3123815368017917</v>
      </c>
      <c r="Q19" s="24">
        <f>N19+$K19*0.1</f>
        <v>2.2069788999999997</v>
      </c>
      <c r="R19" s="23">
        <f t="shared" ref="R19:R66" si="0">O19+$J19*COS(Q19)*0.1</f>
        <v>-7.5900176624026869</v>
      </c>
      <c r="S19">
        <f t="shared" ref="S19:S66" si="1">P19+$J19*SIN(Q19)*0.1</f>
        <v>5.3235622750461093</v>
      </c>
      <c r="T19" s="24">
        <f t="shared" ref="T19:T66" si="2">Q19+$K19*0.1</f>
        <v>2.1690229999999997</v>
      </c>
      <c r="U19" s="23">
        <f t="shared" ref="U19:U66" si="3">R19+$J19*COS(T19)*0.1</f>
        <v>-7.5978458365552806</v>
      </c>
      <c r="V19">
        <f t="shared" ref="V19:V66" si="4">S19+$J19*SIN(T19)*0.1</f>
        <v>5.3350483400570985</v>
      </c>
      <c r="W19" s="24">
        <f t="shared" ref="W19:W66" si="5">T19+$K19*0.1</f>
        <v>2.1310670999999997</v>
      </c>
      <c r="X19" s="23">
        <f t="shared" ref="X19:X66" si="6">U19+$J19*COS(W19)*0.1</f>
        <v>-7.6052325132900194</v>
      </c>
      <c r="Y19">
        <f t="shared" ref="Y19:Y66" si="7">V19+$J19*SIN(W19)*0.1</f>
        <v>5.3468231864177298</v>
      </c>
      <c r="Z19" s="24">
        <f t="shared" ref="Z19:Z66" si="8">W19+$K19*0.1</f>
        <v>2.0931111999999996</v>
      </c>
      <c r="AA19" s="23">
        <f t="shared" ref="AA19:AA66" si="9">X19+$J19*COS(Z19)*0.1</f>
        <v>-7.6121670522660274</v>
      </c>
      <c r="AB19">
        <f t="shared" ref="AB19:AB66" si="10">Y19+$J19*SIN(Z19)*0.1</f>
        <v>5.3588698527279677</v>
      </c>
      <c r="AC19" s="24">
        <f t="shared" ref="AC19:AC66" si="11">Z19+$K19*0.1</f>
        <v>2.0551552999999996</v>
      </c>
      <c r="AD19" s="23">
        <f t="shared" ref="AD19:AD66" si="12">AA19+$J19*COS(AC19)*0.1</f>
        <v>-7.6186394644366517</v>
      </c>
      <c r="AE19">
        <f t="shared" ref="AE19:AE66" si="13">AB19+$J19*SIN(AC19)*0.1</f>
        <v>5.3711709860372832</v>
      </c>
      <c r="AF19" s="24">
        <f t="shared" ref="AF19:AF66" si="14">AC19+$K19*0.1</f>
        <v>2.0171993999999995</v>
      </c>
      <c r="AG19" s="23">
        <f t="shared" ref="AG19:AG66" si="15">AD19+$J19*COS(AF19)*0.1</f>
        <v>-7.6246404264384564</v>
      </c>
      <c r="AH19">
        <f t="shared" ref="AH19:AH66" si="16">AE19+$J19*SIN(AF19)*0.1</f>
        <v>5.3837088668411868</v>
      </c>
      <c r="AI19" s="24">
        <f t="shared" ref="AI19:AI66" si="17">AF19+$K19*0.1</f>
        <v>1.9792434999999995</v>
      </c>
      <c r="AJ19" s="23">
        <f t="shared" ref="AJ19:AJ66" si="18">AG19+$J19*COS(AI19)*0.1</f>
        <v>-7.6301612940213177</v>
      </c>
      <c r="AK19">
        <f t="shared" ref="AK19:AK66" si="19">AH19+$J19*SIN(AI19)*0.1</f>
        <v>5.3964654346057745</v>
      </c>
      <c r="AL19" s="24">
        <f t="shared" ref="AL19:AL66" si="20">AI19+$K19*0.1</f>
        <v>1.9412875999999994</v>
      </c>
      <c r="AM19" s="23">
        <f t="shared" ref="AM19:AM66" si="21">AJ19+$J19*COS(AL19)*0.1</f>
        <v>-7.63519411450027</v>
      </c>
      <c r="AN19">
        <f t="shared" ref="AN19:AN66" si="22">AK19+$J19*SIN(AL19)*0.1</f>
        <v>5.4094223137835176</v>
      </c>
      <c r="AO19" s="24">
        <f t="shared" ref="AO19:AO66" si="23">AL19+$K19*0.1</f>
        <v>1.9033316999999994</v>
      </c>
      <c r="AP19" s="23">
        <f t="shared" ref="AP19:AP66" si="24">AM19+$J19*COS(AO19)*0.1</f>
        <v>-7.6397316382111713</v>
      </c>
      <c r="AQ19">
        <f t="shared" ref="AQ19:AQ66" si="25">AN19+$J19*SIN(AO19)*0.1</f>
        <v>5.4225608402828254</v>
      </c>
      <c r="AR19" s="24">
        <f t="shared" ref="AR19:AR66" si="26">AO19+$K19*0.1</f>
        <v>1.8653757999999994</v>
      </c>
      <c r="AS19" s="23">
        <f t="shared" ref="AS19:AS66" si="27">AP19+$J19*COS(AR19)*0.1</f>
        <v>-7.6437673289536772</v>
      </c>
      <c r="AT19">
        <f t="shared" ref="AT19:AT66" si="28">AQ19+$J19*SIN(AR19)*0.1</f>
        <v>5.4358620883532458</v>
      </c>
      <c r="AU19" s="24">
        <f t="shared" ref="AU19:AU66" si="29">AR19+$K19*0.1</f>
        <v>1.8274198999999993</v>
      </c>
      <c r="AV19" s="23">
        <f t="shared" ref="AV19:AV66" si="30">AS19+$J19*COS(AU19)*0.1</f>
        <v>-7.6472953734064912</v>
      </c>
      <c r="AW19">
        <f t="shared" ref="AW19:AW66" si="31">AT19+$J19*SIN(AU19)*0.1</f>
        <v>5.4493068978475812</v>
      </c>
      <c r="AX19" s="24">
        <f t="shared" ref="AX19:AX66" si="32">AU19+$K19*0.1</f>
        <v>1.7894639999999993</v>
      </c>
      <c r="AY19" s="23">
        <f t="shared" ref="AY19:AY66" si="33">AV19+$J19*COS(AX19)*0.1</f>
        <v>-7.6503106895013246</v>
      </c>
      <c r="AZ19">
        <f t="shared" ref="AZ19:AZ66" si="34">AW19+$J19*SIN(AX19)*0.1</f>
        <v>5.462875901821648</v>
      </c>
      <c r="BA19" s="24">
        <f t="shared" ref="BA19:BA66" si="35">AX19+$K19*0.1</f>
        <v>1.7515080999999992</v>
      </c>
      <c r="BB19" s="23">
        <f t="shared" ref="BB19:BB66" si="36">AY19+$J19*COS(BA19)*0.1</f>
        <v>-7.652808933743497</v>
      </c>
      <c r="BC19">
        <f t="shared" ref="BC19:BC66" si="37">AZ19+$J19*SIN(BA19)*0.1</f>
        <v>5.476549554431922</v>
      </c>
      <c r="BD19" s="24">
        <f t="shared" ref="BD19:BD66" si="38">BA19+$K19*0.1</f>
        <v>1.7135521999999992</v>
      </c>
      <c r="BE19" s="23">
        <f t="shared" ref="BE19:BE66" si="39">BB19+$J19*COS(BD19)*0.1</f>
        <v>-7.6547865074686463</v>
      </c>
      <c r="BF19">
        <f t="shared" ref="BF19:BF66" si="40">BC19+$J19*SIN(BD19)*0.1</f>
        <v>5.4903081590908833</v>
      </c>
      <c r="BG19" s="24">
        <f t="shared" ref="BG19:BG66" si="41">BD19+$K19*0.1</f>
        <v>1.6755962999999992</v>
      </c>
      <c r="BH19" s="23">
        <f t="shared" ref="BH19:BH66" si="42">BE19+$J19*COS(BG19)*0.1</f>
        <v>-7.6562405620265199</v>
      </c>
      <c r="BI19">
        <f t="shared" ref="BI19:BI66" si="43">BF19+$J19*SIN(BG19)*0.1</f>
        <v>5.5041318968395068</v>
      </c>
      <c r="BJ19" s="24">
        <f t="shared" ref="BJ19:BJ66" si="44">BG19+$K19*0.1</f>
        <v>1.6376403999999991</v>
      </c>
      <c r="BK19" s="23">
        <f t="shared" ref="BK19:BK66" si="45">BH19+$J19*COS(BJ19)*0.1</f>
        <v>-7.6571690028843928</v>
      </c>
      <c r="BL19">
        <f t="shared" ref="BL19:BL66" si="46">BI19+$J19*SIN(BJ19)*0.1</f>
        <v>5.518000854896024</v>
      </c>
      <c r="BM19" s="24">
        <f t="shared" ref="BM19:BM66" si="47">BJ19+$K19*0.1</f>
        <v>1.5996844999999991</v>
      </c>
      <c r="BN19" s="23">
        <f t="shared" ref="BN19:BN66" si="48">BK19+$J19*COS(BM19)*0.1</f>
        <v>-7.6575704926441954</v>
      </c>
      <c r="BO19">
        <f t="shared" ref="BO19:BO66" si="49">BL19+$J19*SIN(BM19)*0.1</f>
        <v>5.5318950553398345</v>
      </c>
      <c r="BP19" s="24">
        <f t="shared" ref="BP19:BP66" si="50">BM19+$K19*0.1</f>
        <v>1.561728599999999</v>
      </c>
      <c r="BQ19" s="23">
        <f t="shared" ref="BQ19:BQ66" si="51">BN19+$J19*COS(BP19)*0.1</f>
        <v>-7.6574444529690036</v>
      </c>
      <c r="BR19">
        <f t="shared" ref="BR19:BR66" si="52">BO19+$J19*SIN(BP19)*0.1</f>
        <v>5.5457944838892486</v>
      </c>
      <c r="BS19" s="24">
        <f t="shared" ref="BS19:BS66" si="53">BP19+$K19*0.1</f>
        <v>1.523772699999999</v>
      </c>
      <c r="BT19" s="23">
        <f t="shared" ref="BT19:BT66" si="54">BQ19+$J19*COS(BS19)*0.1</f>
        <v>-7.6567910654161206</v>
      </c>
      <c r="BU19">
        <f t="shared" ref="BU19:BU66" si="55">BR19+$J19*SIN(BS19)*0.1</f>
        <v>5.5596791187316104</v>
      </c>
      <c r="BV19" s="24">
        <f t="shared" ref="BV19:BV66" si="56">BS19+$K19*0.1</f>
        <v>1.4858167999999989</v>
      </c>
      <c r="BW19" s="23">
        <f t="shared" ref="BW19:BW66" si="57">BT19+$J19*COS(BV19)*0.1</f>
        <v>-7.6556112711755473</v>
      </c>
      <c r="BX19">
        <f t="shared" ref="BX19:BX66" si="58">BU19+$J19*SIN(BV19)*0.1</f>
        <v>5.5735289593642641</v>
      </c>
      <c r="BY19" s="24">
        <f t="shared" ref="BY19:BY66" si="59">BV19+$K19*0.1</f>
        <v>1.4478608999999989</v>
      </c>
      <c r="BZ19" s="23">
        <f t="shared" ref="BZ19:BZ66" si="60">BW19+$J19*COS(BY19)*0.1</f>
        <v>-7.6539067697142213</v>
      </c>
      <c r="CA19">
        <f t="shared" ref="CA19:CA66" si="61">BX19+$J19*SIN(BY19)*0.1</f>
        <v>5.5873240554048262</v>
      </c>
      <c r="CB19" s="24">
        <f t="shared" ref="CB19:CB66" si="62">BY19+$K19*0.1</f>
        <v>1.4099049999999989</v>
      </c>
      <c r="CC19" s="23">
        <f t="shared" ref="CC19:CC66" si="63">BZ19+$J19*COS(CB19)*0.1</f>
        <v>-7.6516800163279699</v>
      </c>
      <c r="CD19">
        <f t="shared" ref="CD19:CD66" si="64">CA19+$J19*SIN(CB19)*0.1</f>
        <v>5.6010445353292608</v>
      </c>
      <c r="CE19" s="24">
        <f t="shared" ref="CE19:CE66" si="65">CB19+$K19*0.1</f>
        <v>1.3719490999999988</v>
      </c>
      <c r="CF19" s="23">
        <f t="shared" ref="CF19:CF66" si="66">CC19+$J19*COS(CE19)*0.1</f>
        <v>-7.6489342186047153</v>
      </c>
      <c r="CG19">
        <f t="shared" ref="CG19:CG66" si="67">CD19+$J19*SIN(CE19)*0.1</f>
        <v>5.6146706350963607</v>
      </c>
      <c r="CH19" s="24">
        <f t="shared" ref="CH19:CH66" si="68">CE19+$K19*0.1</f>
        <v>1.3339931999999988</v>
      </c>
      <c r="CI19" s="23">
        <f t="shared" ref="CI19:CI66" si="69">CF19+$J19*COS(CH19)*0.1</f>
        <v>-7.645673331804014</v>
      </c>
      <c r="CJ19">
        <f t="shared" ref="CJ19:CJ66" si="70">CG19+$J19*SIN(CH19)*0.1</f>
        <v>5.6281827266174025</v>
      </c>
      <c r="CK19" s="24">
        <f t="shared" ref="CK19:CK66" si="71">CH19+$K19*0.1</f>
        <v>1.2960372999999987</v>
      </c>
      <c r="CL19" s="23">
        <f t="shared" ref="CL19:CL66" si="72">CI19+$J19*COS(CK19)*0.1</f>
        <v>-7.6419020531595967</v>
      </c>
      <c r="CM19">
        <f t="shared" ref="CM19:CM66" si="73">CJ19+$J19*SIN(CK19)*0.1</f>
        <v>5.6415613460299641</v>
      </c>
      <c r="CN19" s="24">
        <f t="shared" ref="CN19:CN66" si="74">CK19+$K19*0.1</f>
        <v>1.2580813999999987</v>
      </c>
      <c r="CO19" s="23">
        <f t="shared" ref="CO19:CO66" si="75">CL19+$J19*COS(CN19)*0.1</f>
        <v>-7.6376258151131093</v>
      </c>
      <c r="CP19">
        <f t="shared" ref="CP19:CP66" si="76">CM19+$J19*SIN(CN19)*0.1</f>
        <v>5.6547872217351784</v>
      </c>
      <c r="CQ19" s="24">
        <f t="shared" ref="CQ19:CQ66" si="77">CN19+$K19*0.1</f>
        <v>1.2201254999999986</v>
      </c>
      <c r="CR19" s="23">
        <f t="shared" ref="CR19:CR66" si="78">CO19+$J19*COS(CQ19)*0.1</f>
        <v>-7.6328507774888008</v>
      </c>
      <c r="CS19">
        <f t="shared" ref="CS19:CS66" si="79">CP19+$J19*SIN(CQ19)*0.1</f>
        <v>5.6678413021580365</v>
      </c>
      <c r="CT19" s="24">
        <f t="shared" ref="CT19:CT66" si="80">CQ19+$K19*0.1</f>
        <v>1.1821695999999986</v>
      </c>
      <c r="CU19" s="23">
        <f t="shared" ref="CU19:CU66" si="81">CR19+$J19*COS(CT19)*0.1</f>
        <v>-7.6275838186204394</v>
      </c>
      <c r="CV19">
        <f t="shared" ref="CV19:CV66" si="82">CS19+$J19*SIN(CT19)*0.1</f>
        <v>5.68070478319075</v>
      </c>
      <c r="CW19" s="24">
        <f t="shared" ref="CW19:CW66" si="83">CT19+$K19*0.1</f>
        <v>1.1442136999999986</v>
      </c>
      <c r="CY19" s="8">
        <f>SQRT(($G$10-L19)^2+($G$11-M19)^2)</f>
        <v>1.3613609146893346</v>
      </c>
      <c r="CZ19" s="8">
        <f>SQRT(($G$10-O19)^2+($G$11-P19)^2)</f>
        <v>1.3683002357228609</v>
      </c>
      <c r="DA19" s="8">
        <f>SQRT(($G$10-R19)^2+($G$11-S19)^2)</f>
        <v>1.3757934739599049</v>
      </c>
      <c r="DB19" s="8">
        <f>SQRT(($G$10-U19)^2+($G$11-V19)^2)</f>
        <v>1.3838209293361492</v>
      </c>
      <c r="DC19" s="8">
        <f>SQRT(($G$10-X19)^2+($G$11-Y19)^2)</f>
        <v>1.3923619030541532</v>
      </c>
      <c r="DD19" s="8">
        <f>SQRT(($G$10-AA19)^2+($G$11-AB19)^2)</f>
        <v>1.4013948198904478</v>
      </c>
      <c r="DE19" s="8">
        <f>SQRT(($G$10-AD19)^2+($G$11-AE19)^2)</f>
        <v>1.4108973489687318</v>
      </c>
      <c r="DF19" s="8">
        <f>SQRT(($G$10-AG19)^2+($G$11-AH19)^2)</f>
        <v>1.4208465217093091</v>
      </c>
      <c r="DG19" s="8">
        <f>SQRT(($G$10-AJ19)^2+($G$11-AK19)^2)</f>
        <v>1.4312188458416555</v>
      </c>
      <c r="DH19" s="8">
        <f>SQRT(($G$10-AM19)^2+($G$11-AN19)^2)</f>
        <v>1.4419904145500191</v>
      </c>
      <c r="DI19" s="8">
        <f>SQRT(($G$10-AP19)^2+($G$11-AQ19)^2)</f>
        <v>1.4531370100048242</v>
      </c>
      <c r="DJ19" s="8">
        <f>SQRT(($G$10-AS19)^2+($G$11-AT19)^2)</f>
        <v>1.464634200709777</v>
      </c>
      <c r="DK19" s="8">
        <f>SQRT(($G$10-AV19)^2+($G$11-AW19)^2)</f>
        <v>1.4764574322616191</v>
      </c>
      <c r="DL19" s="8">
        <f>SQRT(($G$10-AY19)^2+($G$11-AZ19)^2)</f>
        <v>1.4885821112729751</v>
      </c>
      <c r="DM19" s="8">
        <f>SQRT(($G$10-BB19)^2+($G$11-BC19)^2)</f>
        <v>1.5009836823464671</v>
      </c>
      <c r="DN19" s="8">
        <f>SQRT(($G$10-BE19)^2+($G$11-BF19)^2)</f>
        <v>1.513637698108778</v>
      </c>
      <c r="DO19">
        <f>SQRT(($G$10-BH19)^2+($G$11-BI19)^2)</f>
        <v>1.5265198824161921</v>
      </c>
      <c r="DP19" s="8">
        <f>SQRT(($G$10-BK19)^2+($G$11-BL19)^2)</f>
        <v>1.5396061869283864</v>
      </c>
      <c r="DQ19">
        <f>SQRT(($G$10-BN19)^2+($G$11-BO19)^2)</f>
        <v>1.5528728413157142</v>
      </c>
      <c r="DR19" s="8">
        <f>SQRT(($G$10-BQ19)^2+($G$11-BR19)^2)</f>
        <v>1.5662963974179651</v>
      </c>
      <c r="DS19">
        <f>SQRT(($G$10-BT19)^2+($G$11-BU19)^2)</f>
        <v>1.5798537677110351</v>
      </c>
      <c r="DT19" s="8">
        <f>SQRT(($G$10-BW19)^2+($G$11-BX19)^2)</f>
        <v>1.5935222584636957</v>
      </c>
      <c r="DU19">
        <f>SQRT(($G$10-BZ19)^2+($G$11-CA19)^2)</f>
        <v>1.6072795979813459</v>
      </c>
      <c r="DV19" s="8">
        <f>SQRT(($G$10-CC19)^2+($G$11-CD19)^2)</f>
        <v>1.6211039603389401</v>
      </c>
      <c r="DW19">
        <f>SQRT(($G$10-CF19)^2+($G$11-CG19)^2)</f>
        <v>1.6349739850027707</v>
      </c>
      <c r="DX19" s="8">
        <f>SQRT(($G$10-CI19)^2+($G$11-CJ19)^2)</f>
        <v>1.6488687927319856</v>
      </c>
      <c r="DY19">
        <f>SQRT(($G$10-CL19)^2+($G$11-CM19)^2)</f>
        <v>1.6627679981369514</v>
      </c>
      <c r="DZ19" s="8">
        <f>SQRT(($G$10-CO19)^2+($G$11-CP19)^2)</f>
        <v>1.6766517192540875</v>
      </c>
      <c r="EA19">
        <f>SQRT(($G$10-CR19)^2+($G$11-CS19)^2)</f>
        <v>1.6905005844766285</v>
      </c>
      <c r="EB19" s="8">
        <f>SQRT(($G$10-CU19)^2+($G$11-CV19)^2)</f>
        <v>1.7042957371588427</v>
      </c>
      <c r="EC19">
        <f>MIN(CY19:EB19)</f>
        <v>1.3613609146893346</v>
      </c>
      <c r="ED19" s="8">
        <f>MAX(CY19:EB19)</f>
        <v>1.7042957371588427</v>
      </c>
      <c r="EF19" s="23">
        <f>$C$11*ABS( MOD( ATAN2($G$8-CU19,$G$9-CV19) -CW19 + PI(), 2*PI() ) - PI() )</f>
        <v>1.3996975012126498</v>
      </c>
      <c r="EG19" s="8">
        <f t="shared" ref="EG19:EG66" si="84">$C$13*EC19</f>
        <v>2.4504496464408025</v>
      </c>
      <c r="EH19">
        <f>$C$12*($C$3-J19) + IF(J19&lt;0, 2*$C$12*ABS(J19), 0)</f>
        <v>1.1415</v>
      </c>
      <c r="EI19" s="8">
        <f>SUM(EF19:EH19)</f>
        <v>4.9916471476534525</v>
      </c>
      <c r="EK19" s="25">
        <f>MIN(EI19:EI66)</f>
        <v>3.3987325656162293</v>
      </c>
      <c r="EL19" s="25">
        <f>INDEX($J$19:$J$66, MATCH(MIN($EI$19:$EI$66), $EI$19:$EI$66, 0))</f>
        <v>0.28899999999999998</v>
      </c>
      <c r="EM19" s="25">
        <f>INDEX($K$19:$K$66, MATCH(MIN($EI$19:$EI$66), $EI$19:$EI$66, 0))</f>
        <v>9.1680100000000028E-2</v>
      </c>
    </row>
    <row r="20" spans="2:143" x14ac:dyDescent="0.3">
      <c r="G20" s="10">
        <f>G19 + $C$7</f>
        <v>0.189</v>
      </c>
      <c r="H20" s="10">
        <f>H19+$C$8</f>
        <v>-0.32719910000000002</v>
      </c>
      <c r="I20" s="6">
        <v>2</v>
      </c>
      <c r="J20" s="6">
        <f t="shared" ref="J20:J66" si="85">INDEX($G$19:$G$22,INT((I20-1)/12)+1)</f>
        <v>0.13899999999999998</v>
      </c>
      <c r="K20" s="6">
        <f>INDEX($H$19:$H$30,MOD(I20-1,12)+1)</f>
        <v>-0.32719910000000002</v>
      </c>
      <c r="L20" s="23">
        <f t="shared" ref="L20:L30" si="86">$G$3+$J20*COS($G$5)*0.1</f>
        <v>-7.5730825467994256</v>
      </c>
      <c r="M20">
        <f t="shared" ref="M20:M66" si="87">$G$4+$J20*SIN($G$5)*0.1</f>
        <v>5.301522230924868</v>
      </c>
      <c r="N20" s="24">
        <f t="shared" ref="N20:N66" si="88">$G$5+$K20*0.1</f>
        <v>2.2501707899999999</v>
      </c>
      <c r="O20" s="23">
        <f t="shared" ref="O20:O66" si="89">L20+$J20*COS(N20)*0.1</f>
        <v>-7.5818160071589018</v>
      </c>
      <c r="P20">
        <f t="shared" ref="P20:P66" si="90">M20+$J20*SIN(N20)*0.1</f>
        <v>5.3123359569316362</v>
      </c>
      <c r="Q20" s="24">
        <f t="shared" ref="Q20:Q66" si="91">N20+$K20*0.1</f>
        <v>2.2174508799999999</v>
      </c>
      <c r="R20" s="23">
        <f t="shared" si="0"/>
        <v>-7.5901910319353156</v>
      </c>
      <c r="S20">
        <f t="shared" si="1"/>
        <v>5.3234296019590586</v>
      </c>
      <c r="T20" s="24">
        <f t="shared" si="2"/>
        <v>2.1847309699999999</v>
      </c>
      <c r="U20" s="23">
        <f t="shared" si="3"/>
        <v>-7.59819865568977</v>
      </c>
      <c r="V20">
        <f t="shared" si="4"/>
        <v>5.3347912902934169</v>
      </c>
      <c r="W20" s="24">
        <f t="shared" si="5"/>
        <v>2.15201106</v>
      </c>
      <c r="X20" s="23">
        <f t="shared" si="6"/>
        <v>-7.6058303062850614</v>
      </c>
      <c r="Y20">
        <f t="shared" si="7"/>
        <v>5.3464088592814365</v>
      </c>
      <c r="Z20" s="24">
        <f t="shared" si="8"/>
        <v>2.11929115</v>
      </c>
      <c r="AA20" s="23">
        <f t="shared" si="9"/>
        <v>-7.6130778140621231</v>
      </c>
      <c r="AB20">
        <f t="shared" si="10"/>
        <v>5.3582698723503706</v>
      </c>
      <c r="AC20" s="24">
        <f t="shared" si="11"/>
        <v>2.08657124</v>
      </c>
      <c r="AD20" s="23">
        <f t="shared" si="12"/>
        <v>-7.6199334205856246</v>
      </c>
      <c r="AE20">
        <f t="shared" si="13"/>
        <v>5.3703616323213144</v>
      </c>
      <c r="AF20" s="24">
        <f t="shared" si="14"/>
        <v>2.0538513300000001</v>
      </c>
      <c r="AG20" s="23">
        <f t="shared" si="15"/>
        <v>-7.6263897869493507</v>
      </c>
      <c r="AH20">
        <f t="shared" si="16"/>
        <v>5.3826711950014969</v>
      </c>
      <c r="AI20" s="24">
        <f t="shared" si="17"/>
        <v>2.0211314200000001</v>
      </c>
      <c r="AJ20" s="23">
        <f t="shared" si="18"/>
        <v>-7.6324400016324789</v>
      </c>
      <c r="AK20">
        <f t="shared" si="19"/>
        <v>5.3951853830410004</v>
      </c>
      <c r="AL20" s="24">
        <f t="shared" si="20"/>
        <v>1.9884115100000002</v>
      </c>
      <c r="AM20" s="23">
        <f t="shared" si="21"/>
        <v>-7.6380775878983433</v>
      </c>
      <c r="AN20">
        <f t="shared" si="22"/>
        <v>5.4078908000390742</v>
      </c>
      <c r="AO20" s="24">
        <f t="shared" si="23"/>
        <v>1.9556916000000002</v>
      </c>
      <c r="AP20" s="23">
        <f t="shared" si="24"/>
        <v>-7.6432965107277608</v>
      </c>
      <c r="AQ20">
        <f t="shared" si="25"/>
        <v>5.4207738448849403</v>
      </c>
      <c r="AR20" s="24">
        <f t="shared" si="26"/>
        <v>1.9229716900000002</v>
      </c>
      <c r="AS20" s="23">
        <f t="shared" si="27"/>
        <v>-7.6480911832795</v>
      </c>
      <c r="AT20">
        <f t="shared" si="28"/>
        <v>5.4338207263177427</v>
      </c>
      <c r="AU20" s="24">
        <f t="shared" si="29"/>
        <v>1.8902517800000003</v>
      </c>
      <c r="AV20" s="23">
        <f t="shared" si="30"/>
        <v>-7.6524564728709787</v>
      </c>
      <c r="AW20">
        <f t="shared" si="31"/>
        <v>5.4470174776900508</v>
      </c>
      <c r="AX20" s="24">
        <f t="shared" si="32"/>
        <v>1.8575318700000003</v>
      </c>
      <c r="AY20" s="23">
        <f t="shared" si="33"/>
        <v>-7.6563877064727865</v>
      </c>
      <c r="AZ20">
        <f t="shared" si="34"/>
        <v>5.4603499719191149</v>
      </c>
      <c r="BA20" s="24">
        <f t="shared" si="35"/>
        <v>1.8248119600000003</v>
      </c>
      <c r="BB20" s="23">
        <f t="shared" si="36"/>
        <v>-7.6598806757111468</v>
      </c>
      <c r="BC20">
        <f t="shared" si="37"/>
        <v>5.4738039366098619</v>
      </c>
      <c r="BD20" s="24">
        <f t="shared" si="38"/>
        <v>1.7920920500000004</v>
      </c>
      <c r="BE20" s="23">
        <f t="shared" si="39"/>
        <v>-7.6629316413729702</v>
      </c>
      <c r="BF20">
        <f t="shared" si="40"/>
        <v>5.4873649693334556</v>
      </c>
      <c r="BG20" s="24">
        <f t="shared" si="41"/>
        <v>1.7593721400000004</v>
      </c>
      <c r="BH20" s="23">
        <f t="shared" si="42"/>
        <v>-7.6655373374086686</v>
      </c>
      <c r="BI20">
        <f t="shared" si="43"/>
        <v>5.5010185530450508</v>
      </c>
      <c r="BJ20" s="24">
        <f t="shared" si="44"/>
        <v>1.7266522300000005</v>
      </c>
      <c r="BK20" s="23">
        <f t="shared" si="45"/>
        <v>-7.6676949744284535</v>
      </c>
      <c r="BL20">
        <f t="shared" si="46"/>
        <v>5.5147500716242481</v>
      </c>
      <c r="BM20" s="24">
        <f t="shared" si="47"/>
        <v>1.6939323200000005</v>
      </c>
      <c r="BN20" s="23">
        <f t="shared" si="48"/>
        <v>-7.6694022426883688</v>
      </c>
      <c r="BO20">
        <f t="shared" si="49"/>
        <v>5.5285448255216068</v>
      </c>
      <c r="BP20" s="24">
        <f t="shared" si="50"/>
        <v>1.6612124100000005</v>
      </c>
      <c r="BQ20" s="23">
        <f t="shared" si="51"/>
        <v>-7.6706573145628649</v>
      </c>
      <c r="BR20">
        <f t="shared" si="52"/>
        <v>5.542388047494466</v>
      </c>
      <c r="BS20" s="24">
        <f t="shared" si="53"/>
        <v>1.6284925000000006</v>
      </c>
      <c r="BT20" s="23">
        <f t="shared" si="54"/>
        <v>-7.671458846501265</v>
      </c>
      <c r="BU20">
        <f t="shared" si="55"/>
        <v>5.5562649184152368</v>
      </c>
      <c r="BV20" s="24">
        <f t="shared" si="56"/>
        <v>1.5957725900000006</v>
      </c>
      <c r="BW20" s="23">
        <f t="shared" si="57"/>
        <v>-7.6718059804660337</v>
      </c>
      <c r="BX20">
        <f t="shared" si="58"/>
        <v>5.5701605831352312</v>
      </c>
      <c r="BY20" s="24">
        <f t="shared" si="59"/>
        <v>1.5630526800000006</v>
      </c>
      <c r="BZ20" s="23">
        <f t="shared" si="60"/>
        <v>-7.6716983448513041</v>
      </c>
      <c r="CA20">
        <f t="shared" si="61"/>
        <v>5.584060166387057</v>
      </c>
      <c r="CB20" s="24">
        <f t="shared" si="62"/>
        <v>1.5303327700000007</v>
      </c>
      <c r="CC20" s="23">
        <f t="shared" si="63"/>
        <v>-7.6711360548806775</v>
      </c>
      <c r="CD20">
        <f t="shared" si="64"/>
        <v>5.5979487887085453</v>
      </c>
      <c r="CE20" s="24">
        <f t="shared" si="65"/>
        <v>1.4976128600000007</v>
      </c>
      <c r="CF20" s="23">
        <f t="shared" si="66"/>
        <v>-7.6701197124838814</v>
      </c>
      <c r="CG20">
        <f t="shared" si="67"/>
        <v>5.6118115823711685</v>
      </c>
      <c r="CH20" s="24">
        <f t="shared" si="68"/>
        <v>1.4648929500000007</v>
      </c>
      <c r="CI20" s="23">
        <f t="shared" si="69"/>
        <v>-7.6686504056524019</v>
      </c>
      <c r="CJ20">
        <f t="shared" si="70"/>
        <v>5.6256337072959033</v>
      </c>
      <c r="CK20" s="24">
        <f t="shared" si="71"/>
        <v>1.4321730400000008</v>
      </c>
      <c r="CL20" s="23">
        <f t="shared" si="72"/>
        <v>-7.6667297072747944</v>
      </c>
      <c r="CM20">
        <f t="shared" si="73"/>
        <v>5.6394003669394861</v>
      </c>
      <c r="CN20" s="24">
        <f t="shared" si="74"/>
        <v>1.3994531300000008</v>
      </c>
      <c r="CO20" s="23">
        <f t="shared" si="75"/>
        <v>-7.6643596734529096</v>
      </c>
      <c r="CP20">
        <f t="shared" si="76"/>
        <v>5.6530968241340718</v>
      </c>
      <c r="CQ20" s="24">
        <f t="shared" si="77"/>
        <v>1.3667332200000009</v>
      </c>
      <c r="CR20" s="23">
        <f t="shared" si="78"/>
        <v>-7.6615428413008422</v>
      </c>
      <c r="CS20">
        <f t="shared" si="79"/>
        <v>5.6667084168633259</v>
      </c>
      <c r="CT20" s="24">
        <f t="shared" si="80"/>
        <v>1.3340133100000009</v>
      </c>
      <c r="CU20" s="23">
        <f t="shared" si="81"/>
        <v>-7.6582822262289607</v>
      </c>
      <c r="CV20">
        <f t="shared" si="82"/>
        <v>5.6802205739580689</v>
      </c>
      <c r="CW20" s="24">
        <f t="shared" si="83"/>
        <v>1.3012934000000009</v>
      </c>
      <c r="CY20" s="8">
        <f>SQRT(($G$10-L20)^2+($G$11-M20)^2)</f>
        <v>1.3613609146893346</v>
      </c>
      <c r="CZ20" s="8">
        <f t="shared" ref="CZ20:CZ66" si="92">SQRT(($G$10-O20)^2+($G$11-P20)^2)</f>
        <v>1.368237239566354</v>
      </c>
      <c r="DA20" s="8">
        <f t="shared" ref="DA20:DA66" si="93">SQRT(($G$10-R20)^2+($G$11-S20)^2)</f>
        <v>1.3756081206770645</v>
      </c>
      <c r="DB20" s="8">
        <f t="shared" ref="DB20:DB66" si="94">SQRT(($G$10-U20)^2+($G$11-V20)^2)</f>
        <v>1.3834578286036687</v>
      </c>
      <c r="DC20" s="8">
        <f t="shared" ref="DC20:DC66" si="95">SQRT(($G$10-X20)^2+($G$11-Y20)^2)</f>
        <v>1.3917699323581816</v>
      </c>
      <c r="DD20" s="8">
        <f t="shared" ref="DD20:DD66" si="96">SQRT(($G$10-AA20)^2+($G$11-AB20)^2)</f>
        <v>1.4005273830749241</v>
      </c>
      <c r="DE20" s="8">
        <f t="shared" ref="DE20:DE66" si="97">SQRT(($G$10-AD20)^2+($G$11-AE20)^2)</f>
        <v>1.4097125964557726</v>
      </c>
      <c r="DF20" s="8">
        <f t="shared" ref="DF20:DF66" si="98">SQRT(($G$10-AG20)^2+($G$11-AH20)^2)</f>
        <v>1.41930753321397</v>
      </c>
      <c r="DG20" s="8">
        <f t="shared" ref="DG20:DG66" si="99">SQRT(($G$10-AJ20)^2+($G$11-AK20)^2)</f>
        <v>1.4292937768630585</v>
      </c>
      <c r="DH20" s="8">
        <f t="shared" ref="DH20:DH66" si="100">SQRT(($G$10-AM20)^2+($G$11-AN20)^2)</f>
        <v>1.4396526083010519</v>
      </c>
      <c r="DI20" s="8">
        <f t="shared" ref="DI20:DI66" si="101">SQRT(($G$10-AP20)^2+($G$11-AQ20)^2)</f>
        <v>1.4503650767431067</v>
      </c>
      <c r="DJ20" s="8">
        <f t="shared" ref="DJ20:DJ66" si="102">SQRT(($G$10-AS20)^2+($G$11-AT20)^2)</f>
        <v>1.4614120666560508</v>
      </c>
      <c r="DK20" s="8">
        <f t="shared" ref="DK20:DK66" si="103">SQRT(($G$10-AV20)^2+($G$11-AW20)^2)</f>
        <v>1.4727743604429484</v>
      </c>
      <c r="DL20" s="8">
        <f t="shared" ref="DL20:DL66" si="104">SQRT(($G$10-AY20)^2+($G$11-AZ20)^2)</f>
        <v>1.4844326967137349</v>
      </c>
      <c r="DM20" s="8">
        <f t="shared" ref="DM20:DM66" si="105">SQRT(($G$10-BB20)^2+($G$11-BC20)^2)</f>
        <v>1.4963678240576479</v>
      </c>
      <c r="DN20" s="8">
        <f t="shared" ref="DN20:DN66" si="106">SQRT(($G$10-BE20)^2+($G$11-BF20)^2)</f>
        <v>1.5085605503039023</v>
      </c>
      <c r="DO20">
        <f t="shared" ref="DO20:DO66" si="107">SQRT(($G$10-BH20)^2+($G$11-BI20)^2)</f>
        <v>1.5209917873184859</v>
      </c>
      <c r="DP20" s="8">
        <f t="shared" ref="DP20:DP66" si="108">SQRT(($G$10-BK20)^2+($G$11-BL20)^2)</f>
        <v>1.5336425914370346</v>
      </c>
      <c r="DQ20">
        <f t="shared" ref="DQ20:DQ66" si="109">SQRT(($G$10-BN20)^2+($G$11-BO20)^2)</f>
        <v>1.5464941996767276</v>
      </c>
      <c r="DR20" s="8">
        <f t="shared" ref="DR20:DR66" si="110">SQRT(($G$10-BQ20)^2+($G$11-BR20)^2)</f>
        <v>1.559528061904532</v>
      </c>
      <c r="DS20">
        <f t="shared" ref="DS20:DS66" si="111">SQRT(($G$10-BT20)^2+($G$11-BU20)^2)</f>
        <v>1.5727258691655037</v>
      </c>
      <c r="DT20" s="8">
        <f t="shared" ref="DT20:DT66" si="112">SQRT(($G$10-BW20)^2+($G$11-BX20)^2)</f>
        <v>1.5860695783939815</v>
      </c>
      <c r="DU20">
        <f t="shared" ref="DU20:DU66" si="113">SQRT(($G$10-BZ20)^2+($G$11-CA20)^2)</f>
        <v>1.5995414337431961</v>
      </c>
      <c r="DV20" s="8">
        <f t="shared" ref="DV20:DV66" si="114">SQRT(($G$10-CC20)^2+($G$11-CD20)^2)</f>
        <v>1.6131239847758534</v>
      </c>
      <c r="DW20">
        <f t="shared" ref="DW20:DW66" si="115">SQRT(($G$10-CF20)^2+($G$11-CG20)^2)</f>
        <v>1.6268001017604798</v>
      </c>
      <c r="DX20" s="8">
        <f t="shared" ref="DX20:DX66" si="116">SQRT(($G$10-CI20)^2+($G$11-CJ20)^2)</f>
        <v>1.6405529883165133</v>
      </c>
      <c r="DY20">
        <f t="shared" ref="DY20:DY66" si="117">SQRT(($G$10-CL20)^2+($G$11-CM20)^2)</f>
        <v>1.6543661916459862</v>
      </c>
      <c r="DZ20" s="8">
        <f t="shared" ref="DZ20:DZ66" si="118">SQRT(($G$10-CO20)^2+($G$11-CP20)^2)</f>
        <v>1.6682236105819213</v>
      </c>
      <c r="EA20">
        <f t="shared" ref="EA20:EA66" si="119">SQRT(($G$10-CR20)^2+($G$11-CS20)^2)</f>
        <v>1.6821095016737686</v>
      </c>
      <c r="EB20" s="8">
        <f t="shared" ref="EB20:EB66" si="120">SQRT(($G$10-CU20)^2+($G$11-CV20)^2)</f>
        <v>1.6960084835189488</v>
      </c>
      <c r="EC20">
        <f t="shared" ref="EC20:EC66" si="121">MIN(CY20:EB20)</f>
        <v>1.3613609146893346</v>
      </c>
      <c r="ED20" s="8">
        <f t="shared" ref="ED20:ED66" si="122">MAX(CY20:EB20)</f>
        <v>1.6960084835189488</v>
      </c>
      <c r="EF20" s="23">
        <f t="shared" ref="EF20:EF66" si="123">$C$11*ABS( MOD( ATAN2($G$8-CU20,$G$9-CV20) -CW20 + PI(), 2*PI() ) - PI() )</f>
        <v>1.2421068499606562</v>
      </c>
      <c r="EG20" s="8">
        <f t="shared" si="84"/>
        <v>2.4504496464408025</v>
      </c>
      <c r="EH20">
        <f t="shared" ref="EH20:EH66" si="124">$C$12*($C$3-J20) + IF(J20&lt;0, 2*$C$12*ABS(J20), 0)</f>
        <v>1.1415</v>
      </c>
      <c r="EI20" s="8">
        <f t="shared" ref="EI20:EI66" si="125">SUM(EF20:EH20)</f>
        <v>4.834056496401459</v>
      </c>
    </row>
    <row r="21" spans="2:143" x14ac:dyDescent="0.3">
      <c r="B21" t="s">
        <v>173</v>
      </c>
      <c r="G21" s="10">
        <f t="shared" ref="G21:G22" si="126">G20 + $C$7</f>
        <v>0.23899999999999999</v>
      </c>
      <c r="H21" s="10">
        <f t="shared" ref="H21:H30" si="127">H20+$C$8</f>
        <v>-0.27483920000000001</v>
      </c>
      <c r="I21" s="6">
        <v>3</v>
      </c>
      <c r="J21" s="6">
        <f t="shared" si="85"/>
        <v>0.13899999999999998</v>
      </c>
      <c r="K21" s="6">
        <f t="shared" ref="K21:K66" si="128">INDEX($H$19:$H$30,MOD(I21-1,12)+1)</f>
        <v>-0.27483920000000001</v>
      </c>
      <c r="L21" s="23">
        <f t="shared" si="86"/>
        <v>-7.5730825467994256</v>
      </c>
      <c r="M21">
        <f t="shared" si="87"/>
        <v>5.301522230924868</v>
      </c>
      <c r="N21" s="24">
        <f t="shared" si="88"/>
        <v>2.2554067799999999</v>
      </c>
      <c r="O21" s="23">
        <f t="shared" si="89"/>
        <v>-7.5818725077452056</v>
      </c>
      <c r="P21">
        <f t="shared" si="90"/>
        <v>5.3122900805974655</v>
      </c>
      <c r="Q21" s="24">
        <f t="shared" si="91"/>
        <v>2.2279228600000001</v>
      </c>
      <c r="R21" s="23">
        <f t="shared" si="0"/>
        <v>-7.5903632436188788</v>
      </c>
      <c r="S21">
        <f t="shared" si="1"/>
        <v>5.3232954158637593</v>
      </c>
      <c r="T21" s="24">
        <f t="shared" si="2"/>
        <v>2.2004389400000002</v>
      </c>
      <c r="U21" s="23">
        <f t="shared" si="3"/>
        <v>-7.5985483412121599</v>
      </c>
      <c r="V21">
        <f t="shared" si="4"/>
        <v>5.3345299241924966</v>
      </c>
      <c r="W21" s="24">
        <f t="shared" si="5"/>
        <v>2.1729550200000003</v>
      </c>
      <c r="X21" s="23">
        <f t="shared" si="6"/>
        <v>-7.6064216181709545</v>
      </c>
      <c r="Y21">
        <f t="shared" si="7"/>
        <v>5.3459851199538138</v>
      </c>
      <c r="Z21" s="24">
        <f t="shared" si="8"/>
        <v>2.1454711000000004</v>
      </c>
      <c r="AA21" s="23">
        <f t="shared" si="9"/>
        <v>-7.6139771276650041</v>
      </c>
      <c r="AB21">
        <f t="shared" si="10"/>
        <v>5.35765235082859</v>
      </c>
      <c r="AC21" s="24">
        <f t="shared" si="11"/>
        <v>2.1179871800000005</v>
      </c>
      <c r="AD21" s="23">
        <f t="shared" si="12"/>
        <v>-7.6212091628796328</v>
      </c>
      <c r="AE21">
        <f t="shared" si="13"/>
        <v>5.3695228043436991</v>
      </c>
      <c r="AF21" s="24">
        <f t="shared" si="14"/>
        <v>2.0905032600000006</v>
      </c>
      <c r="AG21" s="23">
        <f t="shared" si="15"/>
        <v>-7.6281122613262138</v>
      </c>
      <c r="AH21">
        <f t="shared" si="16"/>
        <v>5.3815875145282339</v>
      </c>
      <c r="AI21" s="24">
        <f t="shared" si="17"/>
        <v>2.0630193400000008</v>
      </c>
      <c r="AJ21" s="23">
        <f t="shared" si="18"/>
        <v>-7.6346812089680824</v>
      </c>
      <c r="AK21">
        <f t="shared" si="19"/>
        <v>5.3938373686856673</v>
      </c>
      <c r="AL21" s="24">
        <f t="shared" si="20"/>
        <v>2.0355354200000009</v>
      </c>
      <c r="AM21" s="23">
        <f t="shared" si="21"/>
        <v>-7.6409110441587966</v>
      </c>
      <c r="AN21">
        <f t="shared" si="22"/>
        <v>5.4062631142768396</v>
      </c>
      <c r="AO21" s="24">
        <f t="shared" si="23"/>
        <v>2.008051500000001</v>
      </c>
      <c r="AP21" s="23">
        <f t="shared" si="24"/>
        <v>-7.6467970613897593</v>
      </c>
      <c r="AQ21">
        <f t="shared" si="25"/>
        <v>5.4188553659085699</v>
      </c>
      <c r="AR21" s="24">
        <f t="shared" si="26"/>
        <v>1.9805675800000009</v>
      </c>
      <c r="AS21" s="23">
        <f t="shared" si="27"/>
        <v>-7.6523348148443722</v>
      </c>
      <c r="AT21">
        <f t="shared" si="28"/>
        <v>5.4316046124226158</v>
      </c>
      <c r="AU21" s="24">
        <f t="shared" si="29"/>
        <v>1.9530836600000008</v>
      </c>
      <c r="AV21" s="23">
        <f t="shared" si="30"/>
        <v>-7.6575201217560469</v>
      </c>
      <c r="AW21">
        <f t="shared" si="31"/>
        <v>5.4445012240796267</v>
      </c>
      <c r="AX21" s="24">
        <f t="shared" si="32"/>
        <v>1.9255997400000007</v>
      </c>
      <c r="AY21" s="23">
        <f t="shared" si="33"/>
        <v>-7.662349065567521</v>
      </c>
      <c r="AZ21">
        <f t="shared" si="34"/>
        <v>5.4575354598326591</v>
      </c>
      <c r="BA21" s="24">
        <f t="shared" si="35"/>
        <v>1.8981158200000006</v>
      </c>
      <c r="BB21" s="23">
        <f t="shared" si="36"/>
        <v>-7.6668179988891074</v>
      </c>
      <c r="BC21">
        <f t="shared" si="37"/>
        <v>5.470697474684771</v>
      </c>
      <c r="BD21" s="24">
        <f t="shared" si="38"/>
        <v>1.8706319000000005</v>
      </c>
      <c r="BE21" s="23">
        <f t="shared" si="39"/>
        <v>-7.6709235462536354</v>
      </c>
      <c r="BF21">
        <f t="shared" si="40"/>
        <v>5.4839773271251264</v>
      </c>
      <c r="BG21" s="24">
        <f t="shared" si="41"/>
        <v>1.8431479800000004</v>
      </c>
      <c r="BH21" s="23">
        <f t="shared" si="42"/>
        <v>-7.6746626066660015</v>
      </c>
      <c r="BI21">
        <f t="shared" si="43"/>
        <v>5.4973649866380017</v>
      </c>
      <c r="BJ21" s="24">
        <f t="shared" si="44"/>
        <v>1.8156640600000002</v>
      </c>
      <c r="BK21" s="23">
        <f t="shared" si="45"/>
        <v>-7.6780323559454073</v>
      </c>
      <c r="BL21">
        <f t="shared" si="46"/>
        <v>5.5108503412790162</v>
      </c>
      <c r="BM21" s="24">
        <f t="shared" si="47"/>
        <v>1.7881801400000001</v>
      </c>
      <c r="BN21" s="23">
        <f t="shared" si="48"/>
        <v>-7.6810302488585167</v>
      </c>
      <c r="BO21">
        <f t="shared" si="49"/>
        <v>5.5244232053128712</v>
      </c>
      <c r="BP21" s="24">
        <f t="shared" si="50"/>
        <v>1.76069622</v>
      </c>
      <c r="BQ21" s="23">
        <f t="shared" si="51"/>
        <v>-7.6836540210419164</v>
      </c>
      <c r="BR21">
        <f t="shared" si="52"/>
        <v>5.5380733269068214</v>
      </c>
      <c r="BS21" s="24">
        <f t="shared" si="53"/>
        <v>1.7332122999999999</v>
      </c>
      <c r="BT21" s="23">
        <f t="shared" si="54"/>
        <v>-7.6859016907124307</v>
      </c>
      <c r="BU21">
        <f t="shared" si="55"/>
        <v>5.55179039587407</v>
      </c>
      <c r="BV21" s="24">
        <f t="shared" si="56"/>
        <v>1.7057283799999998</v>
      </c>
      <c r="BW21" s="23">
        <f t="shared" si="57"/>
        <v>-7.6877715601639984</v>
      </c>
      <c r="BX21">
        <f t="shared" si="58"/>
        <v>5.5655640514612443</v>
      </c>
      <c r="BY21" s="24">
        <f t="shared" si="59"/>
        <v>1.6782444599999997</v>
      </c>
      <c r="BZ21" s="23">
        <f t="shared" si="60"/>
        <v>-7.6892622170499836</v>
      </c>
      <c r="CA21">
        <f t="shared" si="61"/>
        <v>5.5793838901740607</v>
      </c>
      <c r="CB21" s="24">
        <f t="shared" si="62"/>
        <v>1.6507605399999996</v>
      </c>
      <c r="CC21" s="23">
        <f t="shared" si="63"/>
        <v>-7.690372535449943</v>
      </c>
      <c r="CD21">
        <f t="shared" si="64"/>
        <v>5.5932394736352764</v>
      </c>
      <c r="CE21" s="24">
        <f t="shared" si="65"/>
        <v>1.6232766199999995</v>
      </c>
      <c r="CF21" s="23">
        <f t="shared" si="66"/>
        <v>-7.6911016767200575</v>
      </c>
      <c r="CG21">
        <f t="shared" si="67"/>
        <v>5.6071203364689843</v>
      </c>
      <c r="CH21" s="24">
        <f t="shared" si="68"/>
        <v>1.5957926999999994</v>
      </c>
      <c r="CI21" s="23">
        <f t="shared" si="69"/>
        <v>-7.6914490901265733</v>
      </c>
      <c r="CJ21">
        <f t="shared" si="70"/>
        <v>5.6210159942053055</v>
      </c>
      <c r="CK21" s="24">
        <f t="shared" si="71"/>
        <v>1.5683087799999993</v>
      </c>
      <c r="CL21" s="23">
        <f t="shared" si="72"/>
        <v>-7.6914145132617842</v>
      </c>
      <c r="CM21">
        <f t="shared" si="73"/>
        <v>5.6349159511994991</v>
      </c>
      <c r="CN21" s="24">
        <f t="shared" si="74"/>
        <v>1.5408248599999992</v>
      </c>
      <c r="CO21" s="23">
        <f t="shared" si="75"/>
        <v>-7.6909979722422284</v>
      </c>
      <c r="CP21">
        <f t="shared" si="76"/>
        <v>5.6488097085595159</v>
      </c>
      <c r="CQ21" s="24">
        <f t="shared" si="77"/>
        <v>1.5133409399999991</v>
      </c>
      <c r="CR21" s="23">
        <f t="shared" si="78"/>
        <v>-7.6901997816889658</v>
      </c>
      <c r="CS21">
        <f t="shared" si="79"/>
        <v>5.6626867720760057</v>
      </c>
      <c r="CT21" s="24">
        <f t="shared" si="80"/>
        <v>1.485857019999999</v>
      </c>
      <c r="CU21" s="23">
        <f t="shared" si="81"/>
        <v>-7.6890205444899369</v>
      </c>
      <c r="CV21">
        <f t="shared" si="82"/>
        <v>5.6765366601487814</v>
      </c>
      <c r="CW21" s="24">
        <f t="shared" si="83"/>
        <v>1.4583730999999989</v>
      </c>
      <c r="CY21" s="8">
        <f t="shared" ref="CY21:CY66" si="129">SQRT(($G$10-L21)^2+($G$11-M21)^2)</f>
        <v>1.3613609146893346</v>
      </c>
      <c r="CZ21" s="8">
        <f t="shared" si="92"/>
        <v>1.3681740543919925</v>
      </c>
      <c r="DA21" s="8">
        <f t="shared" si="93"/>
        <v>1.375421770284506</v>
      </c>
      <c r="DB21" s="8">
        <f t="shared" si="94"/>
        <v>1.3830918009558619</v>
      </c>
      <c r="DC21" s="8">
        <f t="shared" si="95"/>
        <v>1.3911714176443979</v>
      </c>
      <c r="DD21" s="8">
        <f t="shared" si="96"/>
        <v>1.3996474791615678</v>
      </c>
      <c r="DE21" s="8">
        <f t="shared" si="97"/>
        <v>1.4085064858420746</v>
      </c>
      <c r="DF21" s="8">
        <f t="shared" si="98"/>
        <v>1.4177346321089821</v>
      </c>
      <c r="DG21" s="8">
        <f t="shared" si="99"/>
        <v>1.4273178572966185</v>
      </c>
      <c r="DH21" s="8">
        <f t="shared" si="100"/>
        <v>1.4372418944292054</v>
      </c>
      <c r="DI21" s="8">
        <f t="shared" si="101"/>
        <v>1.4474923167078144</v>
      </c>
      <c r="DJ21" s="8">
        <f t="shared" si="102"/>
        <v>1.4580545815112482</v>
      </c>
      <c r="DK21" s="8">
        <f t="shared" si="103"/>
        <v>1.4689140717667979</v>
      </c>
      <c r="DL21" s="8">
        <f t="shared" si="104"/>
        <v>1.4800561345937513</v>
      </c>
      <c r="DM21" s="8">
        <f t="shared" si="105"/>
        <v>1.4914661171654855</v>
      </c>
      <c r="DN21" s="8">
        <f t="shared" si="106"/>
        <v>1.5031293997745228</v>
      </c>
      <c r="DO21">
        <f t="shared" si="107"/>
        <v>1.5150314261189568</v>
      </c>
      <c r="DP21" s="8">
        <f t="shared" si="108"/>
        <v>1.5271577308580138</v>
      </c>
      <c r="DQ21">
        <f t="shared" si="109"/>
        <v>1.539493964509363</v>
      </c>
      <c r="DR21" s="8">
        <f t="shared" si="110"/>
        <v>1.5520259157812246</v>
      </c>
      <c r="DS21">
        <f t="shared" si="111"/>
        <v>1.5647395314486834</v>
      </c>
      <c r="DT21" s="8">
        <f t="shared" si="112"/>
        <v>1.5776209338961391</v>
      </c>
      <c r="DU21">
        <f t="shared" si="113"/>
        <v>1.5906564364569038</v>
      </c>
      <c r="DV21" s="8">
        <f t="shared" si="114"/>
        <v>1.6038325566869605</v>
      </c>
      <c r="DW21">
        <f t="shared" si="115"/>
        <v>1.6171360277131623</v>
      </c>
      <c r="DX21" s="8">
        <f t="shared" si="116"/>
        <v>1.6305538077971347</v>
      </c>
      <c r="DY21">
        <f t="shared" si="117"/>
        <v>1.6440730882550765</v>
      </c>
      <c r="DZ21" s="8">
        <f t="shared" si="118"/>
        <v>1.6576812998710144</v>
      </c>
      <c r="EA21">
        <f t="shared" si="119"/>
        <v>1.6713661179370389</v>
      </c>
      <c r="EB21" s="8">
        <f t="shared" si="120"/>
        <v>1.685115466048994</v>
      </c>
      <c r="EC21">
        <f t="shared" si="121"/>
        <v>1.3613609146893346</v>
      </c>
      <c r="ED21" s="8">
        <f t="shared" si="122"/>
        <v>1.685115466048994</v>
      </c>
      <c r="EF21" s="23">
        <f t="shared" si="123"/>
        <v>1.0844383459944229</v>
      </c>
      <c r="EG21" s="8">
        <f t="shared" si="84"/>
        <v>2.4504496464408025</v>
      </c>
      <c r="EH21">
        <f t="shared" si="124"/>
        <v>1.1415</v>
      </c>
      <c r="EI21" s="8">
        <f t="shared" si="125"/>
        <v>4.6763879924352256</v>
      </c>
    </row>
    <row r="22" spans="2:143" x14ac:dyDescent="0.3">
      <c r="B22" t="s">
        <v>174</v>
      </c>
      <c r="G22" s="10">
        <f t="shared" si="126"/>
        <v>0.28899999999999998</v>
      </c>
      <c r="H22" s="10">
        <f>H21+$C$8</f>
        <v>-0.22247929999999999</v>
      </c>
      <c r="I22" s="6">
        <v>4</v>
      </c>
      <c r="J22" s="6">
        <f t="shared" si="85"/>
        <v>0.13899999999999998</v>
      </c>
      <c r="K22" s="6">
        <f t="shared" si="128"/>
        <v>-0.22247929999999999</v>
      </c>
      <c r="L22" s="23">
        <f t="shared" si="86"/>
        <v>-7.5730825467994256</v>
      </c>
      <c r="M22">
        <f t="shared" si="87"/>
        <v>5.301522230924868</v>
      </c>
      <c r="N22" s="24">
        <f t="shared" si="88"/>
        <v>2.26064277</v>
      </c>
      <c r="O22" s="23">
        <f t="shared" si="89"/>
        <v>-7.5819287673500835</v>
      </c>
      <c r="P22">
        <f t="shared" si="90"/>
        <v>5.3122439090570044</v>
      </c>
      <c r="Q22" s="24">
        <f t="shared" si="91"/>
        <v>2.2383948400000002</v>
      </c>
      <c r="R22" s="23">
        <f t="shared" si="0"/>
        <v>-7.5905342832153471</v>
      </c>
      <c r="S22">
        <f t="shared" si="1"/>
        <v>5.3231597277021034</v>
      </c>
      <c r="T22" s="24">
        <f t="shared" si="2"/>
        <v>2.2161469100000004</v>
      </c>
      <c r="U22" s="23">
        <f t="shared" si="3"/>
        <v>-7.5988948350953693</v>
      </c>
      <c r="V22">
        <f t="shared" si="4"/>
        <v>5.3342642840760188</v>
      </c>
      <c r="W22" s="24">
        <f t="shared" si="5"/>
        <v>2.1938989800000006</v>
      </c>
      <c r="X22" s="23">
        <f t="shared" si="6"/>
        <v>-7.6070062849352196</v>
      </c>
      <c r="Y22">
        <f t="shared" si="7"/>
        <v>5.3455520819788687</v>
      </c>
      <c r="Z22" s="24">
        <f t="shared" si="8"/>
        <v>2.1716510500000008</v>
      </c>
      <c r="AA22" s="23">
        <f t="shared" si="9"/>
        <v>-7.6148646179730166</v>
      </c>
      <c r="AB22">
        <f t="shared" si="10"/>
        <v>5.357017534515383</v>
      </c>
      <c r="AC22" s="24">
        <f t="shared" si="11"/>
        <v>2.149403120000001</v>
      </c>
      <c r="AD22" s="23">
        <f t="shared" si="12"/>
        <v>-7.6224659447270326</v>
      </c>
      <c r="AE22">
        <f t="shared" si="13"/>
        <v>5.3686549668601344</v>
      </c>
      <c r="AF22" s="24">
        <f t="shared" si="14"/>
        <v>2.1271551900000012</v>
      </c>
      <c r="AG22" s="23">
        <f t="shared" si="15"/>
        <v>-7.6298065029207942</v>
      </c>
      <c r="AH22">
        <f t="shared" si="16"/>
        <v>5.3804586190662951</v>
      </c>
      <c r="AI22" s="24">
        <f t="shared" si="17"/>
        <v>2.1049072600000014</v>
      </c>
      <c r="AJ22" s="23">
        <f t="shared" si="18"/>
        <v>-7.6368826593452193</v>
      </c>
      <c r="AK22">
        <f t="shared" si="19"/>
        <v>5.3924226489165203</v>
      </c>
      <c r="AL22" s="24">
        <f t="shared" si="20"/>
        <v>2.0826593300000016</v>
      </c>
      <c r="AM22" s="23">
        <f t="shared" si="21"/>
        <v>-7.6436909116568739</v>
      </c>
      <c r="AN22">
        <f t="shared" si="22"/>
        <v>5.4045411348145542</v>
      </c>
      <c r="AO22" s="24">
        <f t="shared" si="23"/>
        <v>2.0604114000000018</v>
      </c>
      <c r="AP22" s="23">
        <f t="shared" si="24"/>
        <v>-7.6502278901114575</v>
      </c>
      <c r="AQ22">
        <f t="shared" si="25"/>
        <v>5.4168080787161257</v>
      </c>
      <c r="AR22" s="24">
        <f t="shared" si="26"/>
        <v>2.038163470000002</v>
      </c>
      <c r="AS22" s="23">
        <f t="shared" si="27"/>
        <v>-7.6564903592316593</v>
      </c>
      <c r="AT22">
        <f t="shared" si="28"/>
        <v>5.4292174090976779</v>
      </c>
      <c r="AU22" s="24">
        <f t="shared" si="29"/>
        <v>2.0159155400000022</v>
      </c>
      <c r="AV22" s="23">
        <f t="shared" si="30"/>
        <v>-7.6624752194085559</v>
      </c>
      <c r="AW22">
        <f t="shared" si="31"/>
        <v>5.4417629839614694</v>
      </c>
      <c r="AX22" s="24">
        <f t="shared" si="32"/>
        <v>1.9936676100000021</v>
      </c>
      <c r="AY22" s="23">
        <f t="shared" si="33"/>
        <v>-7.6681795084357613</v>
      </c>
      <c r="AZ22">
        <f t="shared" si="34"/>
        <v>5.4544385938755564</v>
      </c>
      <c r="BA22" s="24">
        <f t="shared" si="35"/>
        <v>1.9714196800000021</v>
      </c>
      <c r="BB22" s="23">
        <f t="shared" si="36"/>
        <v>-7.6736004029755742</v>
      </c>
      <c r="BC22">
        <f t="shared" si="37"/>
        <v>5.4672379650471505</v>
      </c>
      <c r="BD22" s="24">
        <f t="shared" si="38"/>
        <v>1.9491717500000021</v>
      </c>
      <c r="BE22" s="23">
        <f t="shared" si="39"/>
        <v>-7.678735219956387</v>
      </c>
      <c r="BF22">
        <f t="shared" si="40"/>
        <v>5.4801547624278308</v>
      </c>
      <c r="BG22" s="24">
        <f t="shared" si="41"/>
        <v>1.9269238200000021</v>
      </c>
      <c r="BH22" s="23">
        <f t="shared" si="42"/>
        <v>-7.6835814179006716</v>
      </c>
      <c r="BI22">
        <f t="shared" si="43"/>
        <v>5.4931825928490792</v>
      </c>
      <c r="BJ22" s="24">
        <f t="shared" si="44"/>
        <v>1.904675890000002</v>
      </c>
      <c r="BK22" s="23">
        <f t="shared" si="45"/>
        <v>-7.6881365981828855</v>
      </c>
      <c r="BL22">
        <f t="shared" si="46"/>
        <v>5.5063150081865766</v>
      </c>
      <c r="BM22" s="24">
        <f t="shared" si="47"/>
        <v>1.882427960000002</v>
      </c>
      <c r="BN22" s="23">
        <f t="shared" si="48"/>
        <v>-7.6923985062166684</v>
      </c>
      <c r="BO22">
        <f t="shared" si="49"/>
        <v>5.519545508551702</v>
      </c>
      <c r="BP22" s="24">
        <f t="shared" si="50"/>
        <v>1.860180030000002</v>
      </c>
      <c r="BQ22" s="23">
        <f t="shared" si="51"/>
        <v>-7.6963650325707542</v>
      </c>
      <c r="BR22">
        <f t="shared" si="52"/>
        <v>5.532867545508652</v>
      </c>
      <c r="BS22" s="24">
        <f t="shared" si="53"/>
        <v>1.837932100000002</v>
      </c>
      <c r="BT22" s="23">
        <f t="shared" si="54"/>
        <v>-7.7000342140130282</v>
      </c>
      <c r="BU22">
        <f t="shared" si="55"/>
        <v>5.5462745253155914</v>
      </c>
      <c r="BV22" s="24">
        <f t="shared" si="56"/>
        <v>1.8156841700000019</v>
      </c>
      <c r="BW22" s="23">
        <f t="shared" si="57"/>
        <v>-7.7034042344822344</v>
      </c>
      <c r="BX22">
        <f t="shared" si="58"/>
        <v>5.5597598121882212</v>
      </c>
      <c r="BY22" s="24">
        <f t="shared" si="59"/>
        <v>1.7934362400000019</v>
      </c>
      <c r="BZ22" s="23">
        <f t="shared" si="60"/>
        <v>-7.7064734259868315</v>
      </c>
      <c r="CA22">
        <f t="shared" si="61"/>
        <v>5.573316731584165</v>
      </c>
      <c r="CB22" s="24">
        <f t="shared" si="62"/>
        <v>1.7711883100000019</v>
      </c>
      <c r="CC22" s="23">
        <f t="shared" si="63"/>
        <v>-7.7092402694305662</v>
      </c>
      <c r="CD22">
        <f t="shared" si="64"/>
        <v>5.5869385735065284</v>
      </c>
      <c r="CE22" s="24">
        <f t="shared" si="65"/>
        <v>1.7489403800000018</v>
      </c>
      <c r="CF22" s="23">
        <f t="shared" si="66"/>
        <v>-7.7117033953643492</v>
      </c>
      <c r="CG22">
        <f t="shared" si="67"/>
        <v>5.6006185958250159</v>
      </c>
      <c r="CH22" s="24">
        <f t="shared" si="68"/>
        <v>1.7266924500000018</v>
      </c>
      <c r="CI22" s="23">
        <f t="shared" si="69"/>
        <v>-7.7138615846640661</v>
      </c>
      <c r="CJ22">
        <f t="shared" si="70"/>
        <v>5.6143500276129465</v>
      </c>
      <c r="CK22" s="24">
        <f t="shared" si="71"/>
        <v>1.7044445200000018</v>
      </c>
      <c r="CL22" s="23">
        <f t="shared" si="72"/>
        <v>-7.7157137691339805</v>
      </c>
      <c r="CM22">
        <f t="shared" si="73"/>
        <v>5.6281260724985227</v>
      </c>
      <c r="CN22" s="24">
        <f t="shared" si="74"/>
        <v>1.6821965900000018</v>
      </c>
      <c r="CO22" s="23">
        <f t="shared" si="75"/>
        <v>-7.7172590320354386</v>
      </c>
      <c r="CP22">
        <f t="shared" si="76"/>
        <v>5.6419399120286959</v>
      </c>
      <c r="CQ22" s="24">
        <f t="shared" si="77"/>
        <v>1.6599486600000017</v>
      </c>
      <c r="CR22" s="23">
        <f t="shared" si="78"/>
        <v>-7.7184966085406082</v>
      </c>
      <c r="CS22">
        <f t="shared" si="79"/>
        <v>5.6557847090439592</v>
      </c>
      <c r="CT22" s="24">
        <f t="shared" si="80"/>
        <v>1.6377007300000017</v>
      </c>
      <c r="CU22" s="23">
        <f t="shared" si="81"/>
        <v>-7.719425886111031</v>
      </c>
      <c r="CV22">
        <f t="shared" si="82"/>
        <v>5.6696536110624001</v>
      </c>
      <c r="CW22" s="24">
        <f t="shared" si="83"/>
        <v>1.6154528000000017</v>
      </c>
      <c r="CY22" s="8">
        <f t="shared" si="129"/>
        <v>1.3613609146893346</v>
      </c>
      <c r="CZ22" s="8">
        <f t="shared" si="92"/>
        <v>1.3681106819059632</v>
      </c>
      <c r="DA22" s="8">
        <f t="shared" si="93"/>
        <v>1.3752344376481596</v>
      </c>
      <c r="DB22" s="8">
        <f t="shared" si="94"/>
        <v>1.382722903882238</v>
      </c>
      <c r="DC22" s="8">
        <f t="shared" si="95"/>
        <v>1.3905665130042388</v>
      </c>
      <c r="DD22" s="8">
        <f t="shared" si="96"/>
        <v>1.3987554420091766</v>
      </c>
      <c r="DE22" s="8">
        <f t="shared" si="97"/>
        <v>1.4072796459395829</v>
      </c>
      <c r="DF22" s="8">
        <f t="shared" si="98"/>
        <v>1.4161288904087914</v>
      </c>
      <c r="DG22" s="8">
        <f t="shared" si="99"/>
        <v>1.4252927830214295</v>
      </c>
      <c r="DH22" s="8">
        <f t="shared" si="100"/>
        <v>1.4347608035407637</v>
      </c>
      <c r="DI22" s="8">
        <f t="shared" si="101"/>
        <v>1.4445223326792911</v>
      </c>
      <c r="DJ22" s="8">
        <f t="shared" si="102"/>
        <v>1.4545666794147987</v>
      </c>
      <c r="DK22" s="8">
        <f t="shared" si="103"/>
        <v>1.4648831067587116</v>
      </c>
      <c r="DL22" s="8">
        <f t="shared" si="104"/>
        <v>1.4754608559265068</v>
      </c>
      <c r="DM22" s="8">
        <f t="shared" si="105"/>
        <v>1.4862891688811313</v>
      </c>
      <c r="DN22" s="8">
        <f t="shared" si="106"/>
        <v>1.4973573092395469</v>
      </c>
      <c r="DO22">
        <f t="shared" si="107"/>
        <v>1.5086545815496408</v>
      </c>
      <c r="DP22" s="8">
        <f t="shared" si="108"/>
        <v>1.5201703489597338</v>
      </c>
      <c r="DQ22">
        <f t="shared" si="109"/>
        <v>1.531894049315881</v>
      </c>
      <c r="DR22" s="8">
        <f t="shared" si="110"/>
        <v>1.5438152097330484</v>
      </c>
      <c r="DS22">
        <f t="shared" si="111"/>
        <v>1.555923459695268</v>
      </c>
      <c r="DT22" s="8">
        <f t="shared" si="112"/>
        <v>1.5682085427470263</v>
      </c>
      <c r="DU22">
        <f t="shared" si="113"/>
        <v>1.5806603268437092</v>
      </c>
      <c r="DV22" s="8">
        <f t="shared" si="114"/>
        <v>1.5932688134328865</v>
      </c>
      <c r="DW22">
        <f t="shared" si="115"/>
        <v>1.6060241453409057</v>
      </c>
      <c r="DX22" s="8">
        <f t="shared" si="116"/>
        <v>1.6189166135406843</v>
      </c>
      <c r="DY22">
        <f t="shared" si="117"/>
        <v>1.6319366628769978</v>
      </c>
      <c r="DZ22" s="8">
        <f t="shared" si="118"/>
        <v>1.6450748968250599</v>
      </c>
      <c r="EA22">
        <f t="shared" si="119"/>
        <v>1.6583220813569246</v>
      </c>
      <c r="EB22" s="8">
        <f t="shared" si="120"/>
        <v>1.671669147988361</v>
      </c>
      <c r="EC22">
        <f t="shared" si="121"/>
        <v>1.3613609146893346</v>
      </c>
      <c r="ED22" s="8">
        <f t="shared" si="122"/>
        <v>1.671669147988361</v>
      </c>
      <c r="EF22" s="23">
        <f t="shared" si="123"/>
        <v>0.92669802561246684</v>
      </c>
      <c r="EG22" s="8">
        <f t="shared" si="84"/>
        <v>2.4504496464408025</v>
      </c>
      <c r="EH22">
        <f t="shared" si="124"/>
        <v>1.1415</v>
      </c>
      <c r="EI22" s="8">
        <f t="shared" si="125"/>
        <v>4.5186476720532696</v>
      </c>
    </row>
    <row r="23" spans="2:143" x14ac:dyDescent="0.3">
      <c r="G23" s="10"/>
      <c r="H23" s="10">
        <f t="shared" si="127"/>
        <v>-0.17011939999999998</v>
      </c>
      <c r="I23" s="6">
        <v>5</v>
      </c>
      <c r="J23" s="6">
        <f t="shared" si="85"/>
        <v>0.13899999999999998</v>
      </c>
      <c r="K23" s="6">
        <f t="shared" si="128"/>
        <v>-0.17011939999999998</v>
      </c>
      <c r="L23" s="23">
        <f t="shared" si="86"/>
        <v>-7.5730825467994256</v>
      </c>
      <c r="M23">
        <f t="shared" si="87"/>
        <v>5.301522230924868</v>
      </c>
      <c r="N23" s="24">
        <f t="shared" si="88"/>
        <v>2.2658787599999997</v>
      </c>
      <c r="O23" s="23">
        <f t="shared" si="89"/>
        <v>-7.5819847844311479</v>
      </c>
      <c r="P23">
        <f t="shared" si="90"/>
        <v>5.3121974435760686</v>
      </c>
      <c r="Q23" s="24">
        <f t="shared" si="91"/>
        <v>2.2488668199999995</v>
      </c>
      <c r="R23" s="23">
        <f t="shared" si="0"/>
        <v>-7.590704136595404</v>
      </c>
      <c r="S23">
        <f t="shared" si="1"/>
        <v>5.3230225485564224</v>
      </c>
      <c r="T23" s="24">
        <f t="shared" si="2"/>
        <v>2.2318548799999993</v>
      </c>
      <c r="U23" s="23">
        <f t="shared" si="3"/>
        <v>-7.5992380799193242</v>
      </c>
      <c r="V23">
        <f t="shared" si="4"/>
        <v>5.3339944130900427</v>
      </c>
      <c r="W23" s="24">
        <f t="shared" si="5"/>
        <v>2.2148429399999991</v>
      </c>
      <c r="X23" s="23">
        <f t="shared" si="6"/>
        <v>-7.6075841446871948</v>
      </c>
      <c r="Y23">
        <f t="shared" si="7"/>
        <v>5.3451098619289565</v>
      </c>
      <c r="Z23" s="24">
        <f t="shared" si="8"/>
        <v>2.197830999999999</v>
      </c>
      <c r="AA23" s="23">
        <f t="shared" si="9"/>
        <v>-7.6157399155551921</v>
      </c>
      <c r="AB23">
        <f t="shared" si="10"/>
        <v>5.3563656782720184</v>
      </c>
      <c r="AC23" s="24">
        <f t="shared" si="11"/>
        <v>2.1808190599999988</v>
      </c>
      <c r="AD23" s="23">
        <f t="shared" si="12"/>
        <v>-7.6237030322503792</v>
      </c>
      <c r="AE23">
        <f t="shared" si="13"/>
        <v>5.3677586046958492</v>
      </c>
      <c r="AF23" s="24">
        <f t="shared" si="14"/>
        <v>2.1638071199999986</v>
      </c>
      <c r="AG23" s="23">
        <f t="shared" si="15"/>
        <v>-7.6314711902537695</v>
      </c>
      <c r="AH23">
        <f t="shared" si="16"/>
        <v>5.3792853440975348</v>
      </c>
      <c r="AI23" s="24">
        <f t="shared" si="17"/>
        <v>2.1467951799999985</v>
      </c>
      <c r="AJ23" s="23">
        <f t="shared" si="18"/>
        <v>-7.6390421414672485</v>
      </c>
      <c r="AK23">
        <f t="shared" si="19"/>
        <v>5.3909425606488011</v>
      </c>
      <c r="AL23" s="24">
        <f t="shared" si="20"/>
        <v>2.1297832399999983</v>
      </c>
      <c r="AM23" s="23">
        <f t="shared" si="21"/>
        <v>-7.6464136948641759</v>
      </c>
      <c r="AN23">
        <f t="shared" si="22"/>
        <v>5.402726880761402</v>
      </c>
      <c r="AO23" s="24">
        <f t="shared" si="23"/>
        <v>2.1127712999999981</v>
      </c>
      <c r="AP23" s="23">
        <f t="shared" si="24"/>
        <v>-7.6535837171234631</v>
      </c>
      <c r="AQ23">
        <f t="shared" si="25"/>
        <v>5.4146348940634326</v>
      </c>
      <c r="AR23" s="24">
        <f t="shared" si="26"/>
        <v>2.095759359999998</v>
      </c>
      <c r="AS23" s="23">
        <f t="shared" si="27"/>
        <v>-7.6605501332469563</v>
      </c>
      <c r="AT23">
        <f t="shared" si="28"/>
        <v>5.4266631543862855</v>
      </c>
      <c r="AU23" s="24">
        <f t="shared" si="29"/>
        <v>2.0787474199999978</v>
      </c>
      <c r="AV23" s="23">
        <f t="shared" si="30"/>
        <v>-7.6673109271599396</v>
      </c>
      <c r="AW23">
        <f t="shared" si="31"/>
        <v>5.4388081807619741</v>
      </c>
      <c r="AX23" s="24">
        <f t="shared" si="32"/>
        <v>2.0617354799999976</v>
      </c>
      <c r="AY23" s="23">
        <f t="shared" si="33"/>
        <v>-7.6738641422945841</v>
      </c>
      <c r="AZ23">
        <f t="shared" si="34"/>
        <v>5.4510664584305157</v>
      </c>
      <c r="BA23" s="24">
        <f t="shared" si="35"/>
        <v>2.0447235399999975</v>
      </c>
      <c r="BB23" s="23">
        <f t="shared" si="36"/>
        <v>-7.6802078821561768</v>
      </c>
      <c r="BC23">
        <f t="shared" si="37"/>
        <v>5.463434439857104</v>
      </c>
      <c r="BD23" s="24">
        <f t="shared" si="38"/>
        <v>2.0277115999999973</v>
      </c>
      <c r="BE23" s="23">
        <f t="shared" si="39"/>
        <v>-7.6863403108719659</v>
      </c>
      <c r="BF23">
        <f t="shared" si="40"/>
        <v>5.4759085457587613</v>
      </c>
      <c r="BG23" s="24">
        <f t="shared" si="41"/>
        <v>2.0106996599999971</v>
      </c>
      <c r="BH23" s="23">
        <f t="shared" si="42"/>
        <v>-7.6922596537224592</v>
      </c>
      <c r="BI23">
        <f t="shared" si="43"/>
        <v>5.4884851661401797</v>
      </c>
      <c r="BJ23" s="24">
        <f t="shared" si="44"/>
        <v>1.9936877199999972</v>
      </c>
      <c r="BK23" s="23">
        <f t="shared" si="45"/>
        <v>-7.6979641976550264</v>
      </c>
      <c r="BL23">
        <f t="shared" si="46"/>
        <v>5.5011606613384512</v>
      </c>
      <c r="BM23" s="24">
        <f t="shared" si="47"/>
        <v>1.9766757799999972</v>
      </c>
      <c r="BN23" s="23">
        <f t="shared" si="48"/>
        <v>-7.7034522917796568</v>
      </c>
      <c r="BO23">
        <f t="shared" si="49"/>
        <v>5.5139313630763818</v>
      </c>
      <c r="BP23" s="24">
        <f t="shared" si="50"/>
        <v>1.9596638399999973</v>
      </c>
      <c r="BQ23" s="23">
        <f t="shared" si="51"/>
        <v>-7.7087223478467246</v>
      </c>
      <c r="BR23">
        <f t="shared" si="52"/>
        <v>5.5267935755240893</v>
      </c>
      <c r="BS23" s="24">
        <f t="shared" si="53"/>
        <v>1.9426518999999973</v>
      </c>
      <c r="BT23" s="23">
        <f t="shared" si="54"/>
        <v>-7.7137728407066257</v>
      </c>
      <c r="BU23">
        <f t="shared" si="55"/>
        <v>5.5397435763685712</v>
      </c>
      <c r="BV23" s="24">
        <f t="shared" si="56"/>
        <v>1.9256399599999974</v>
      </c>
      <c r="BW23" s="23">
        <f t="shared" si="57"/>
        <v>-7.7186023087511559</v>
      </c>
      <c r="BX23">
        <f t="shared" si="58"/>
        <v>5.5527776178909409</v>
      </c>
      <c r="BY23" s="24">
        <f t="shared" si="59"/>
        <v>1.9086280199999974</v>
      </c>
      <c r="BZ23" s="23">
        <f t="shared" si="60"/>
        <v>-7.7232093543364986</v>
      </c>
      <c r="CA23">
        <f t="shared" si="61"/>
        <v>5.5658919280510135</v>
      </c>
      <c r="CB23" s="24">
        <f t="shared" si="62"/>
        <v>1.8916160799999975</v>
      </c>
      <c r="CC23" s="23">
        <f t="shared" si="63"/>
        <v>-7.727592644187701</v>
      </c>
      <c r="CD23">
        <f t="shared" si="64"/>
        <v>5.5790827115789297</v>
      </c>
      <c r="CE23" s="24">
        <f t="shared" si="65"/>
        <v>1.8746041399999975</v>
      </c>
      <c r="CF23" s="23">
        <f t="shared" si="66"/>
        <v>-7.7317509097845258</v>
      </c>
      <c r="CG23">
        <f t="shared" si="67"/>
        <v>5.5923461510735049</v>
      </c>
      <c r="CH23" s="24">
        <f t="shared" si="68"/>
        <v>1.8575921999999976</v>
      </c>
      <c r="CI23" s="23">
        <f t="shared" si="69"/>
        <v>-7.7356829477285558</v>
      </c>
      <c r="CJ23">
        <f t="shared" si="70"/>
        <v>5.6056784081069821</v>
      </c>
      <c r="CK23" s="24">
        <f t="shared" si="71"/>
        <v>1.8405802599999976</v>
      </c>
      <c r="CL23" s="23">
        <f t="shared" si="72"/>
        <v>-7.739387620091458</v>
      </c>
      <c r="CM23">
        <f t="shared" si="73"/>
        <v>5.6190756243358688</v>
      </c>
      <c r="CN23" s="24">
        <f t="shared" si="74"/>
        <v>1.8235683199999977</v>
      </c>
      <c r="CO23" s="23">
        <f t="shared" si="75"/>
        <v>-7.7428638547443001</v>
      </c>
      <c r="CP23">
        <f t="shared" si="76"/>
        <v>5.6325339226175384</v>
      </c>
      <c r="CQ23" s="24">
        <f t="shared" si="77"/>
        <v>1.8065563799999977</v>
      </c>
      <c r="CR23" s="23">
        <f t="shared" si="78"/>
        <v>-7.7461106456678221</v>
      </c>
      <c r="CS23">
        <f t="shared" si="79"/>
        <v>5.6460494081322707</v>
      </c>
      <c r="CT23" s="24">
        <f t="shared" si="80"/>
        <v>1.7895444399999978</v>
      </c>
      <c r="CU23" s="23">
        <f t="shared" si="81"/>
        <v>-7.7491270532435781</v>
      </c>
      <c r="CV23">
        <f t="shared" si="82"/>
        <v>5.6596181695104111</v>
      </c>
      <c r="CW23" s="24">
        <f t="shared" si="83"/>
        <v>1.7725324999999978</v>
      </c>
      <c r="CY23" s="8">
        <f t="shared" si="129"/>
        <v>1.3613609146893346</v>
      </c>
      <c r="CZ23" s="8">
        <f t="shared" si="92"/>
        <v>1.3680471238197458</v>
      </c>
      <c r="DA23" s="8">
        <f t="shared" si="93"/>
        <v>1.3750461377294856</v>
      </c>
      <c r="DB23" s="8">
        <f t="shared" si="94"/>
        <v>1.3823511954510657</v>
      </c>
      <c r="DC23" s="8">
        <f t="shared" si="95"/>
        <v>1.3899553747084914</v>
      </c>
      <c r="DD23" s="8">
        <f t="shared" si="96"/>
        <v>1.3978516117157631</v>
      </c>
      <c r="DE23" s="8">
        <f t="shared" si="97"/>
        <v>1.406032720477957</v>
      </c>
      <c r="DF23" s="8">
        <f t="shared" si="98"/>
        <v>1.4144914115056901</v>
      </c>
      <c r="DG23" s="8">
        <f t="shared" si="99"/>
        <v>1.4232203098659606</v>
      </c>
      <c r="DH23" s="8">
        <f t="shared" si="100"/>
        <v>1.4322119725044355</v>
      </c>
      <c r="DI23" s="8">
        <f t="shared" si="101"/>
        <v>1.4414589047860129</v>
      </c>
      <c r="DJ23" s="8">
        <f t="shared" si="102"/>
        <v>1.4509535762117896</v>
      </c>
      <c r="DK23" s="8">
        <f t="shared" si="103"/>
        <v>1.4606884352812992</v>
      </c>
      <c r="DL23" s="8">
        <f t="shared" si="104"/>
        <v>1.4706559234788747</v>
      </c>
      <c r="DM23" s="8">
        <f t="shared" si="105"/>
        <v>1.4808484883722981</v>
      </c>
      <c r="DN23" s="8">
        <f t="shared" si="106"/>
        <v>1.4912585958203008</v>
      </c>
      <c r="DO23">
        <f t="shared" si="107"/>
        <v>1.5018787412931072</v>
      </c>
      <c r="DP23" s="8">
        <f t="shared" si="108"/>
        <v>1.5127014603169353</v>
      </c>
      <c r="DQ23">
        <f t="shared" si="109"/>
        <v>1.5237193380592697</v>
      </c>
      <c r="DR23" s="8">
        <f t="shared" si="110"/>
        <v>1.5349250180767851</v>
      </c>
      <c r="DS23">
        <f t="shared" si="111"/>
        <v>1.5463112102520626</v>
      </c>
      <c r="DT23" s="8">
        <f t="shared" si="112"/>
        <v>1.5578706979487558</v>
      </c>
      <c r="DU23">
        <f t="shared" si="113"/>
        <v>1.5695963444176757</v>
      </c>
      <c r="DV23" s="8">
        <f t="shared" si="114"/>
        <v>1.5814810984884167</v>
      </c>
      <c r="DW23">
        <f t="shared" si="115"/>
        <v>1.5935179995827202</v>
      </c>
      <c r="DX23" s="8">
        <f t="shared" si="116"/>
        <v>1.6057001820867933</v>
      </c>
      <c r="DY23">
        <f t="shared" si="117"/>
        <v>1.6180208791203516</v>
      </c>
      <c r="DZ23" s="8">
        <f t="shared" si="118"/>
        <v>1.6304734257402966</v>
      </c>
      <c r="EA23">
        <f t="shared" si="119"/>
        <v>1.6430512616166899</v>
      </c>
      <c r="EB23" s="8">
        <f t="shared" si="120"/>
        <v>1.6557479332181571</v>
      </c>
      <c r="EC23">
        <f t="shared" si="121"/>
        <v>1.3613609146893346</v>
      </c>
      <c r="ED23" s="8">
        <f t="shared" si="122"/>
        <v>1.6557479332181571</v>
      </c>
      <c r="EF23" s="23">
        <f t="shared" si="123"/>
        <v>0.76889306502225185</v>
      </c>
      <c r="EG23" s="8">
        <f t="shared" si="84"/>
        <v>2.4504496464408025</v>
      </c>
      <c r="EH23">
        <f t="shared" si="124"/>
        <v>1.1415</v>
      </c>
      <c r="EI23" s="8">
        <f t="shared" si="125"/>
        <v>4.3608427114630546</v>
      </c>
    </row>
    <row r="24" spans="2:143" x14ac:dyDescent="0.3">
      <c r="G24" s="10"/>
      <c r="H24" s="10">
        <f t="shared" si="127"/>
        <v>-0.11775949999999998</v>
      </c>
      <c r="I24" s="6">
        <v>6</v>
      </c>
      <c r="J24" s="6">
        <f t="shared" si="85"/>
        <v>0.13899999999999998</v>
      </c>
      <c r="K24" s="6">
        <f t="shared" si="128"/>
        <v>-0.11775949999999998</v>
      </c>
      <c r="L24" s="23">
        <f t="shared" si="86"/>
        <v>-7.5730825467994256</v>
      </c>
      <c r="M24">
        <f t="shared" si="87"/>
        <v>5.301522230924868</v>
      </c>
      <c r="N24" s="24">
        <f t="shared" si="88"/>
        <v>2.2711147499999997</v>
      </c>
      <c r="O24" s="23">
        <f t="shared" si="89"/>
        <v>-7.5820405574526619</v>
      </c>
      <c r="P24">
        <f t="shared" si="90"/>
        <v>5.3121506854285343</v>
      </c>
      <c r="Q24" s="24">
        <f t="shared" si="91"/>
        <v>2.2593387999999996</v>
      </c>
      <c r="R24" s="23">
        <f t="shared" si="0"/>
        <v>-7.5908727897398673</v>
      </c>
      <c r="S24">
        <f t="shared" si="1"/>
        <v>5.3228838896483772</v>
      </c>
      <c r="T24" s="24">
        <f t="shared" si="2"/>
        <v>2.2475628499999996</v>
      </c>
      <c r="U24" s="23">
        <f t="shared" si="3"/>
        <v>-7.5995780188830615</v>
      </c>
      <c r="V24">
        <f t="shared" si="4"/>
        <v>5.3337203551959851</v>
      </c>
      <c r="W24" s="24">
        <f t="shared" si="5"/>
        <v>2.2357868999999995</v>
      </c>
      <c r="X24" s="23">
        <f t="shared" si="6"/>
        <v>-7.6081550377159672</v>
      </c>
      <c r="Y24">
        <f t="shared" si="7"/>
        <v>5.3446585793635535</v>
      </c>
      <c r="Z24" s="24">
        <f t="shared" si="8"/>
        <v>2.2240109499999994</v>
      </c>
      <c r="AA24" s="23">
        <f t="shared" si="9"/>
        <v>-7.6166026568514109</v>
      </c>
      <c r="AB24">
        <f t="shared" si="10"/>
        <v>5.3556970453322688</v>
      </c>
      <c r="AC24" s="24">
        <f t="shared" si="11"/>
        <v>2.2122349999999993</v>
      </c>
      <c r="AD24" s="23">
        <f t="shared" si="12"/>
        <v>-7.6249197048462545</v>
      </c>
      <c r="AE24">
        <f t="shared" si="13"/>
        <v>5.3668342223826464</v>
      </c>
      <c r="AF24" s="24">
        <f t="shared" si="14"/>
        <v>2.2004590499999992</v>
      </c>
      <c r="AG24" s="23">
        <f t="shared" si="15"/>
        <v>-7.6331050283638433</v>
      </c>
      <c r="AH24">
        <f t="shared" si="16"/>
        <v>5.3780685661067995</v>
      </c>
      <c r="AI24" s="24">
        <f t="shared" si="17"/>
        <v>2.1886830999999991</v>
      </c>
      <c r="AJ24" s="23">
        <f t="shared" si="18"/>
        <v>-7.6411574923339387</v>
      </c>
      <c r="AK24">
        <f t="shared" si="19"/>
        <v>5.3893985186226008</v>
      </c>
      <c r="AL24" s="24">
        <f t="shared" si="20"/>
        <v>2.176907149999999</v>
      </c>
      <c r="AM24" s="23">
        <f t="shared" si="21"/>
        <v>-7.6490759801101227</v>
      </c>
      <c r="AN24">
        <f t="shared" si="22"/>
        <v>5.4008225087897195</v>
      </c>
      <c r="AO24" s="24">
        <f t="shared" si="23"/>
        <v>2.1651311999999989</v>
      </c>
      <c r="AP24" s="23">
        <f t="shared" si="24"/>
        <v>-7.6568593936246412</v>
      </c>
      <c r="AQ24">
        <f t="shared" si="25"/>
        <v>5.4123389524274934</v>
      </c>
      <c r="AR24" s="24">
        <f t="shared" si="26"/>
        <v>2.1533552499999988</v>
      </c>
      <c r="AS24" s="23">
        <f t="shared" si="27"/>
        <v>-7.664506653540677</v>
      </c>
      <c r="AT24">
        <f t="shared" si="28"/>
        <v>5.4239462525346065</v>
      </c>
      <c r="AU24" s="24">
        <f t="shared" si="29"/>
        <v>2.1415792999999987</v>
      </c>
      <c r="AV24" s="23">
        <f t="shared" si="30"/>
        <v>-7.6720166994020236</v>
      </c>
      <c r="AW24">
        <f t="shared" si="31"/>
        <v>5.4356427995105507</v>
      </c>
      <c r="AX24" s="24">
        <f t="shared" si="32"/>
        <v>2.1298033499999987</v>
      </c>
      <c r="AY24" s="23">
        <f t="shared" si="33"/>
        <v>-7.6793884897801377</v>
      </c>
      <c r="AZ24">
        <f t="shared" si="34"/>
        <v>5.4474269713788299</v>
      </c>
      <c r="BA24" s="24">
        <f t="shared" si="35"/>
        <v>2.1180273999999986</v>
      </c>
      <c r="BB24" s="23">
        <f t="shared" si="36"/>
        <v>-7.6866210024185575</v>
      </c>
      <c r="BC24">
        <f t="shared" si="37"/>
        <v>5.4592971340118819</v>
      </c>
      <c r="BD24" s="24">
        <f t="shared" si="38"/>
        <v>2.1062514499999985</v>
      </c>
      <c r="BE24" s="23">
        <f t="shared" si="39"/>
        <v>-7.693713234374659</v>
      </c>
      <c r="BF24">
        <f t="shared" si="40"/>
        <v>5.4712516413576848</v>
      </c>
      <c r="BG24" s="24">
        <f t="shared" si="41"/>
        <v>2.0944754999999984</v>
      </c>
      <c r="BH24" s="23">
        <f t="shared" si="42"/>
        <v>-7.7006642021587375</v>
      </c>
      <c r="BI24">
        <f t="shared" si="43"/>
        <v>5.4832888356680174</v>
      </c>
      <c r="BJ24" s="24">
        <f t="shared" si="44"/>
        <v>2.0826995499999983</v>
      </c>
      <c r="BK24" s="23">
        <f t="shared" si="45"/>
        <v>-7.707472941870388</v>
      </c>
      <c r="BL24">
        <f t="shared" si="46"/>
        <v>5.4954070477283423</v>
      </c>
      <c r="BM24" s="24">
        <f t="shared" si="47"/>
        <v>2.0709235999999982</v>
      </c>
      <c r="BN24" s="23">
        <f t="shared" si="48"/>
        <v>-7.7141385093321695</v>
      </c>
      <c r="BO24">
        <f t="shared" si="49"/>
        <v>5.5076045970892773</v>
      </c>
      <c r="BP24" s="24">
        <f t="shared" si="50"/>
        <v>2.0591476499999981</v>
      </c>
      <c r="BQ24" s="23">
        <f t="shared" si="51"/>
        <v>-7.720659980220538</v>
      </c>
      <c r="BR24">
        <f t="shared" si="52"/>
        <v>5.5198797922996254</v>
      </c>
      <c r="BS24" s="24">
        <f t="shared" si="53"/>
        <v>2.047371699999998</v>
      </c>
      <c r="BT24" s="23">
        <f t="shared" si="54"/>
        <v>-7.7270364501940225</v>
      </c>
      <c r="BU24">
        <f t="shared" si="55"/>
        <v>5.5322309311409326</v>
      </c>
      <c r="BV24" s="24">
        <f t="shared" si="56"/>
        <v>2.0355957499999979</v>
      </c>
      <c r="BW24" s="23">
        <f t="shared" si="57"/>
        <v>-7.7332670350186303</v>
      </c>
      <c r="BX24">
        <f t="shared" si="58"/>
        <v>5.5446563008635348</v>
      </c>
      <c r="BY24" s="24">
        <f t="shared" si="59"/>
        <v>2.0238197999999978</v>
      </c>
      <c r="BZ24" s="23">
        <f t="shared" si="60"/>
        <v>-7.7393508706904672</v>
      </c>
      <c r="CA24">
        <f t="shared" si="61"/>
        <v>5.5571541784240681</v>
      </c>
      <c r="CB24" s="24">
        <f t="shared" si="62"/>
        <v>2.0120438499999977</v>
      </c>
      <c r="CC24" s="23">
        <f t="shared" si="63"/>
        <v>-7.7452871135555474</v>
      </c>
      <c r="CD24">
        <f t="shared" si="64"/>
        <v>5.5697228307244053</v>
      </c>
      <c r="CE24" s="24">
        <f t="shared" si="65"/>
        <v>2.0002678999999977</v>
      </c>
      <c r="CF24" s="23">
        <f t="shared" si="66"/>
        <v>-7.7510749404267871</v>
      </c>
      <c r="CG24">
        <f t="shared" si="67"/>
        <v>5.5823605148519881</v>
      </c>
      <c r="CH24" s="24">
        <f t="shared" si="68"/>
        <v>1.9884919499999976</v>
      </c>
      <c r="CI24" s="23">
        <f t="shared" si="69"/>
        <v>-7.7567135486981549</v>
      </c>
      <c r="CJ24">
        <f t="shared" si="70"/>
        <v>5.5950654783215175</v>
      </c>
      <c r="CK24" s="24">
        <f t="shared" si="71"/>
        <v>1.9767159999999975</v>
      </c>
      <c r="CL24" s="23">
        <f t="shared" si="72"/>
        <v>-7.7622021564559702</v>
      </c>
      <c r="CM24">
        <f t="shared" si="73"/>
        <v>5.6078359593179732</v>
      </c>
      <c r="CN24" s="24">
        <f t="shared" si="74"/>
        <v>1.9649400499999974</v>
      </c>
      <c r="CO24" s="23">
        <f t="shared" si="75"/>
        <v>-7.7675400025873342</v>
      </c>
      <c r="CP24">
        <f t="shared" si="76"/>
        <v>5.6206701869409308</v>
      </c>
      <c r="CQ24" s="24">
        <f t="shared" si="77"/>
        <v>1.9531640999999973</v>
      </c>
      <c r="CR24" s="23">
        <f t="shared" si="78"/>
        <v>-7.7727263468856735</v>
      </c>
      <c r="CS24">
        <f t="shared" si="79"/>
        <v>5.6335663814501293</v>
      </c>
      <c r="CT24" s="24">
        <f t="shared" si="80"/>
        <v>1.9413881499999972</v>
      </c>
      <c r="CU24" s="23">
        <f t="shared" si="81"/>
        <v>-7.7777604701533836</v>
      </c>
      <c r="CV24">
        <f t="shared" si="82"/>
        <v>5.6465227545122749</v>
      </c>
      <c r="CW24" s="24">
        <f t="shared" si="83"/>
        <v>1.9296121999999971</v>
      </c>
      <c r="CY24" s="8">
        <f t="shared" si="129"/>
        <v>1.3613609146893346</v>
      </c>
      <c r="CZ24" s="8">
        <f t="shared" si="92"/>
        <v>1.3679833818500704</v>
      </c>
      <c r="DA24" s="8">
        <f t="shared" si="93"/>
        <v>1.3748568855841017</v>
      </c>
      <c r="DB24" s="8">
        <f t="shared" si="94"/>
        <v>1.3819767342986777</v>
      </c>
      <c r="DC24" s="8">
        <f t="shared" si="95"/>
        <v>1.3893381611606359</v>
      </c>
      <c r="DD24" s="8">
        <f t="shared" si="96"/>
        <v>1.3969363344724461</v>
      </c>
      <c r="DE24" s="8">
        <f t="shared" si="97"/>
        <v>1.4047663677362718</v>
      </c>
      <c r="DF24" s="8">
        <f t="shared" si="98"/>
        <v>1.4128233293744683</v>
      </c>
      <c r="DG24" s="8">
        <f t="shared" si="99"/>
        <v>1.4211022520796797</v>
      </c>
      <c r="DH24" s="8">
        <f t="shared" si="100"/>
        <v>1.4295981417723274</v>
      </c>
      <c r="DI24" s="8">
        <f t="shared" si="101"/>
        <v>1.438305986147713</v>
      </c>
      <c r="DJ24" s="8">
        <f t="shared" si="102"/>
        <v>1.4472207627991938</v>
      </c>
      <c r="DK24" s="8">
        <f t="shared" si="103"/>
        <v>1.4563374469078829</v>
      </c>
      <c r="DL24" s="8">
        <f t="shared" si="104"/>
        <v>1.4656510184930249</v>
      </c>
      <c r="DM24" s="8">
        <f t="shared" si="105"/>
        <v>1.475156469220638</v>
      </c>
      <c r="DN24" s="8">
        <f t="shared" si="106"/>
        <v>1.4848488087711329</v>
      </c>
      <c r="DO24">
        <f t="shared" si="107"/>
        <v>1.4947230707694485</v>
      </c>
      <c r="DP24" s="8">
        <f t="shared" si="108"/>
        <v>1.5047743182837678</v>
      </c>
      <c r="DQ24">
        <f t="shared" si="109"/>
        <v>1.5149976489010855</v>
      </c>
      <c r="DR24" s="8">
        <f t="shared" si="110"/>
        <v>1.5253881993898442</v>
      </c>
      <c r="DS24">
        <f t="shared" si="111"/>
        <v>1.5359411499614934</v>
      </c>
      <c r="DT24" s="8">
        <f t="shared" si="112"/>
        <v>1.5466517281442154</v>
      </c>
      <c r="DU24">
        <f t="shared" si="113"/>
        <v>1.5575152122831826</v>
      </c>
      <c r="DV24" s="8">
        <f t="shared" si="114"/>
        <v>1.5685269346826227</v>
      </c>
      <c r="DW24">
        <f t="shared" si="115"/>
        <v>1.5796822844056393</v>
      </c>
      <c r="DX24" s="8">
        <f t="shared" si="116"/>
        <v>1.5909767097482159</v>
      </c>
      <c r="DY24">
        <f t="shared" si="117"/>
        <v>1.602405720404148</v>
      </c>
      <c r="DZ24" s="8">
        <f t="shared" si="118"/>
        <v>1.6139648893377865</v>
      </c>
      <c r="EA24">
        <f t="shared" si="119"/>
        <v>1.6256498543814641</v>
      </c>
      <c r="EB24" s="8">
        <f t="shared" si="120"/>
        <v>1.6374563195743828</v>
      </c>
      <c r="EC24">
        <f t="shared" si="121"/>
        <v>1.3613609146893346</v>
      </c>
      <c r="ED24" s="8">
        <f t="shared" si="122"/>
        <v>1.6374563195743828</v>
      </c>
      <c r="EF24" s="23">
        <f t="shared" si="123"/>
        <v>0.61103167307492834</v>
      </c>
      <c r="EG24" s="8">
        <f t="shared" si="84"/>
        <v>2.4504496464408025</v>
      </c>
      <c r="EH24">
        <f t="shared" si="124"/>
        <v>1.1415</v>
      </c>
      <c r="EI24" s="8">
        <f t="shared" si="125"/>
        <v>4.2029813195157306</v>
      </c>
    </row>
    <row r="25" spans="2:143" x14ac:dyDescent="0.3">
      <c r="G25" s="10"/>
      <c r="H25" s="10">
        <f t="shared" si="127"/>
        <v>-6.5399599999999974E-2</v>
      </c>
      <c r="I25" s="6">
        <v>7</v>
      </c>
      <c r="J25" s="6">
        <f t="shared" si="85"/>
        <v>0.13899999999999998</v>
      </c>
      <c r="K25" s="6">
        <f t="shared" si="128"/>
        <v>-6.5399599999999974E-2</v>
      </c>
      <c r="L25" s="23">
        <f t="shared" si="86"/>
        <v>-7.5730825467994256</v>
      </c>
      <c r="M25">
        <f t="shared" si="87"/>
        <v>5.301522230924868</v>
      </c>
      <c r="N25" s="24">
        <f t="shared" si="88"/>
        <v>2.2763507399999998</v>
      </c>
      <c r="O25" s="23">
        <f t="shared" si="89"/>
        <v>-7.5820960848855785</v>
      </c>
      <c r="P25">
        <f t="shared" si="90"/>
        <v>5.3121036358963014</v>
      </c>
      <c r="Q25" s="24">
        <f t="shared" si="91"/>
        <v>2.2698107799999998</v>
      </c>
      <c r="R25" s="23">
        <f t="shared" si="0"/>
        <v>-7.5910402287411021</v>
      </c>
      <c r="S25">
        <f t="shared" si="1"/>
        <v>5.3227437623378293</v>
      </c>
      <c r="T25" s="24">
        <f t="shared" si="2"/>
        <v>2.2632708199999998</v>
      </c>
      <c r="U25" s="23">
        <f t="shared" si="3"/>
        <v>-7.5999145958166974</v>
      </c>
      <c r="V25">
        <f t="shared" si="4"/>
        <v>5.333442155161408</v>
      </c>
      <c r="W25" s="24">
        <f t="shared" si="5"/>
        <v>2.2567308599999998</v>
      </c>
      <c r="X25" s="23">
        <f t="shared" si="6"/>
        <v>-7.60871880654748</v>
      </c>
      <c r="Y25">
        <f t="shared" si="7"/>
        <v>5.3441983567868876</v>
      </c>
      <c r="Z25" s="24">
        <f t="shared" si="8"/>
        <v>2.2501908999999998</v>
      </c>
      <c r="AA25" s="23">
        <f t="shared" si="9"/>
        <v>-7.6174524843692195</v>
      </c>
      <c r="AB25">
        <f t="shared" si="10"/>
        <v>5.3550119071615816</v>
      </c>
      <c r="AC25" s="24">
        <f t="shared" si="11"/>
        <v>2.2436509399999998</v>
      </c>
      <c r="AD25" s="23">
        <f t="shared" si="12"/>
        <v>-7.6261152557344429</v>
      </c>
      <c r="AE25">
        <f t="shared" si="13"/>
        <v>5.365882343779945</v>
      </c>
      <c r="AF25" s="24">
        <f t="shared" si="14"/>
        <v>2.2371109799999997</v>
      </c>
      <c r="AG25" s="23">
        <f t="shared" si="15"/>
        <v>-7.6347067501284114</v>
      </c>
      <c r="AH25">
        <f t="shared" si="16"/>
        <v>5.376809201703356</v>
      </c>
      <c r="AI25" s="24">
        <f t="shared" si="17"/>
        <v>2.2305710199999997</v>
      </c>
      <c r="AJ25" s="23">
        <f t="shared" si="18"/>
        <v>-7.6432266000849678</v>
      </c>
      <c r="AK25">
        <f t="shared" si="19"/>
        <v>5.3877920135800013</v>
      </c>
      <c r="AL25" s="24">
        <f t="shared" si="20"/>
        <v>2.2240310599999997</v>
      </c>
      <c r="AM25" s="23">
        <f t="shared" si="21"/>
        <v>-7.6516744412022533</v>
      </c>
      <c r="AN25">
        <f t="shared" si="22"/>
        <v>5.3988303096648638</v>
      </c>
      <c r="AO25" s="24">
        <f t="shared" si="23"/>
        <v>2.2174910999999997</v>
      </c>
      <c r="AP25" s="23">
        <f t="shared" si="24"/>
        <v>-7.6600499121582954</v>
      </c>
      <c r="AQ25">
        <f t="shared" si="25"/>
        <v>5.4099236178398176</v>
      </c>
      <c r="AR25" s="24">
        <f t="shared" si="26"/>
        <v>2.2109511399999997</v>
      </c>
      <c r="AS25" s="23">
        <f t="shared" si="27"/>
        <v>-7.6683526547264593</v>
      </c>
      <c r="AT25">
        <f t="shared" si="28"/>
        <v>5.4210714636338171</v>
      </c>
      <c r="AU25" s="24">
        <f t="shared" si="29"/>
        <v>2.2044111799999997</v>
      </c>
      <c r="AV25" s="23">
        <f t="shared" si="30"/>
        <v>-7.6765823137907709</v>
      </c>
      <c r="AW25">
        <f t="shared" si="31"/>
        <v>5.4322733702431938</v>
      </c>
      <c r="AX25" s="24">
        <f t="shared" si="32"/>
        <v>2.1978712199999997</v>
      </c>
      <c r="AY25" s="23">
        <f t="shared" si="33"/>
        <v>-7.6847385373611043</v>
      </c>
      <c r="AZ25">
        <f t="shared" si="34"/>
        <v>5.4435288585520469</v>
      </c>
      <c r="BA25" s="24">
        <f t="shared" si="35"/>
        <v>2.1913312599999997</v>
      </c>
      <c r="BB25" s="23">
        <f t="shared" si="36"/>
        <v>-7.6928209765882389</v>
      </c>
      <c r="BC25">
        <f t="shared" si="37"/>
        <v>5.4548374471527374</v>
      </c>
      <c r="BD25" s="24">
        <f t="shared" si="38"/>
        <v>2.1847912999999997</v>
      </c>
      <c r="BE25" s="23">
        <f t="shared" si="39"/>
        <v>-7.7008292857787772</v>
      </c>
      <c r="BF25">
        <f t="shared" si="40"/>
        <v>5.4661986523664785</v>
      </c>
      <c r="BG25" s="24">
        <f t="shared" si="41"/>
        <v>2.1782513399999996</v>
      </c>
      <c r="BH25" s="23">
        <f t="shared" si="42"/>
        <v>-7.7087631224099331</v>
      </c>
      <c r="BI25">
        <f t="shared" si="43"/>
        <v>5.4776119882640204</v>
      </c>
      <c r="BJ25" s="24">
        <f t="shared" si="44"/>
        <v>2.1717113799999996</v>
      </c>
      <c r="BK25" s="23">
        <f t="shared" si="45"/>
        <v>-7.7166221471441805</v>
      </c>
      <c r="BL25">
        <f t="shared" si="46"/>
        <v>5.4890769666864374</v>
      </c>
      <c r="BM25" s="24">
        <f t="shared" si="47"/>
        <v>2.1651714199999996</v>
      </c>
      <c r="BN25" s="23">
        <f t="shared" si="48"/>
        <v>-7.7244060238437662</v>
      </c>
      <c r="BO25">
        <f t="shared" si="49"/>
        <v>5.5005930972660044</v>
      </c>
      <c r="BP25" s="24">
        <f t="shared" si="50"/>
        <v>2.1586314599999996</v>
      </c>
      <c r="BQ25" s="23">
        <f t="shared" si="51"/>
        <v>-7.7321144195850895</v>
      </c>
      <c r="BR25">
        <f t="shared" si="52"/>
        <v>5.5121598874471722</v>
      </c>
      <c r="BS25" s="24">
        <f t="shared" si="53"/>
        <v>2.1520914999999996</v>
      </c>
      <c r="BT25" s="23">
        <f t="shared" si="54"/>
        <v>-7.739747004672938</v>
      </c>
      <c r="BU25">
        <f t="shared" si="55"/>
        <v>5.5237768425076323</v>
      </c>
      <c r="BV25" s="24">
        <f t="shared" si="56"/>
        <v>2.1455515399999996</v>
      </c>
      <c r="BW25" s="23">
        <f t="shared" si="57"/>
        <v>-7.7473034526545934</v>
      </c>
      <c r="BX25">
        <f t="shared" si="58"/>
        <v>5.5354434655794789</v>
      </c>
      <c r="BY25" s="24">
        <f t="shared" si="59"/>
        <v>2.1390115799999996</v>
      </c>
      <c r="BZ25" s="23">
        <f t="shared" si="60"/>
        <v>-7.7547834403337905</v>
      </c>
      <c r="CA25">
        <f t="shared" si="61"/>
        <v>5.5471592576704589</v>
      </c>
      <c r="CB25" s="24">
        <f t="shared" si="62"/>
        <v>2.1324716199999996</v>
      </c>
      <c r="CC25" s="23">
        <f t="shared" si="63"/>
        <v>-7.7621866477845423</v>
      </c>
      <c r="CD25">
        <f t="shared" si="64"/>
        <v>5.5589237176853148</v>
      </c>
      <c r="CE25" s="24">
        <f t="shared" si="65"/>
        <v>2.1259316599999996</v>
      </c>
      <c r="CF25" s="23">
        <f t="shared" si="66"/>
        <v>-7.7695127583648222</v>
      </c>
      <c r="CG25">
        <f t="shared" si="67"/>
        <v>5.5707363424472174</v>
      </c>
      <c r="CH25" s="24">
        <f t="shared" si="68"/>
        <v>2.1193916999999995</v>
      </c>
      <c r="CI25" s="23">
        <f t="shared" si="69"/>
        <v>-7.7767614587301095</v>
      </c>
      <c r="CJ25">
        <f t="shared" si="70"/>
        <v>5.5825966267192868</v>
      </c>
      <c r="CK25" s="24">
        <f t="shared" si="71"/>
        <v>2.1128517399999995</v>
      </c>
      <c r="CL25" s="23">
        <f t="shared" si="72"/>
        <v>-7.7839324388467883</v>
      </c>
      <c r="CM25">
        <f t="shared" si="73"/>
        <v>5.5945040632262009</v>
      </c>
      <c r="CN25" s="24">
        <f t="shared" si="74"/>
        <v>2.1063117799999995</v>
      </c>
      <c r="CO25" s="23">
        <f t="shared" si="75"/>
        <v>-7.7910253920054116</v>
      </c>
      <c r="CP25">
        <f t="shared" si="76"/>
        <v>5.6064581426758942</v>
      </c>
      <c r="CQ25" s="24">
        <f t="shared" si="77"/>
        <v>2.0997718199999995</v>
      </c>
      <c r="CR25" s="23">
        <f t="shared" si="78"/>
        <v>-7.7980400148338154</v>
      </c>
      <c r="CS25">
        <f t="shared" si="79"/>
        <v>5.6184583537813388</v>
      </c>
      <c r="CT25" s="24">
        <f t="shared" si="80"/>
        <v>2.0932318599999995</v>
      </c>
      <c r="CU25" s="23">
        <f t="shared" si="81"/>
        <v>-7.8049760073100973</v>
      </c>
      <c r="CV25">
        <f t="shared" si="82"/>
        <v>5.6305041832824134</v>
      </c>
      <c r="CW25" s="24">
        <f t="shared" si="83"/>
        <v>2.0866918999999995</v>
      </c>
      <c r="CY25" s="8">
        <f t="shared" si="129"/>
        <v>1.3613609146893346</v>
      </c>
      <c r="CZ25" s="8">
        <f t="shared" si="92"/>
        <v>1.3679194577188745</v>
      </c>
      <c r="DA25" s="8">
        <f t="shared" si="93"/>
        <v>1.3746666963603993</v>
      </c>
      <c r="DB25" s="8">
        <f t="shared" si="94"/>
        <v>1.3815995796186247</v>
      </c>
      <c r="DC25" s="8">
        <f t="shared" si="95"/>
        <v>1.3887150328492912</v>
      </c>
      <c r="DD25" s="8">
        <f t="shared" si="96"/>
        <v>1.3960099624135243</v>
      </c>
      <c r="DE25" s="8">
        <f t="shared" si="97"/>
        <v>1.4034812601621962</v>
      </c>
      <c r="DF25" s="8">
        <f t="shared" si="98"/>
        <v>1.4111258077429145</v>
      </c>
      <c r="DG25" s="8">
        <f t="shared" si="99"/>
        <v>1.418940480723724</v>
      </c>
      <c r="DH25" s="8">
        <f t="shared" si="100"/>
        <v>1.4269221525290094</v>
      </c>
      <c r="DI25" s="8">
        <f t="shared" si="101"/>
        <v>1.4350676981843913</v>
      </c>
      <c r="DJ25" s="8">
        <f t="shared" si="102"/>
        <v>1.4433739978686402</v>
      </c>
      <c r="DK25" s="8">
        <f t="shared" si="103"/>
        <v>1.4518379402717883</v>
      </c>
      <c r="DL25" s="8">
        <f t="shared" si="104"/>
        <v>1.4604564257596664</v>
      </c>
      <c r="DM25" s="8">
        <f t="shared" si="105"/>
        <v>1.4692263693460734</v>
      </c>
      <c r="DN25" s="8">
        <f t="shared" si="106"/>
        <v>1.4781447034746529</v>
      </c>
      <c r="DO25">
        <f t="shared" si="107"/>
        <v>1.4872083806133389</v>
      </c>
      <c r="DP25" s="8">
        <f t="shared" si="108"/>
        <v>1.4964143756649515</v>
      </c>
      <c r="DQ25">
        <f t="shared" si="109"/>
        <v>1.5057596881981097</v>
      </c>
      <c r="DR25" s="8">
        <f t="shared" si="110"/>
        <v>1.5152413445031849</v>
      </c>
      <c r="DS25">
        <f t="shared" si="111"/>
        <v>1.5248563994784636</v>
      </c>
      <c r="DT25" s="8">
        <f t="shared" si="112"/>
        <v>1.5346019383520684</v>
      </c>
      <c r="DU25">
        <f t="shared" si="113"/>
        <v>1.5444750782454999</v>
      </c>
      <c r="DV25" s="8">
        <f t="shared" si="114"/>
        <v>1.5544729695849049</v>
      </c>
      <c r="DW25">
        <f t="shared" si="115"/>
        <v>1.5645927973663629</v>
      </c>
      <c r="DX25" s="8">
        <f t="shared" si="116"/>
        <v>1.5748317822816138</v>
      </c>
      <c r="DY25">
        <f t="shared" si="117"/>
        <v>1.5851871817107244</v>
      </c>
      <c r="DZ25" s="8">
        <f t="shared" si="118"/>
        <v>1.595656290588233</v>
      </c>
      <c r="EA25">
        <f t="shared" si="119"/>
        <v>1.6062364421492923</v>
      </c>
      <c r="EB25" s="8">
        <f t="shared" si="120"/>
        <v>1.6169250085622946</v>
      </c>
      <c r="EC25">
        <f t="shared" si="121"/>
        <v>1.3613609146893346</v>
      </c>
      <c r="ED25" s="8">
        <f t="shared" si="122"/>
        <v>1.6169250085622946</v>
      </c>
      <c r="EF25" s="23">
        <f t="shared" si="123"/>
        <v>0.45312296304134225</v>
      </c>
      <c r="EG25" s="8">
        <f t="shared" si="84"/>
        <v>2.4504496464408025</v>
      </c>
      <c r="EH25">
        <f t="shared" si="124"/>
        <v>1.1415</v>
      </c>
      <c r="EI25" s="8">
        <f t="shared" si="125"/>
        <v>4.045072609482145</v>
      </c>
    </row>
    <row r="26" spans="2:143" x14ac:dyDescent="0.3">
      <c r="B26" t="s">
        <v>48</v>
      </c>
      <c r="C26">
        <f>G6-(C5*C9)</f>
        <v>0.13899999999999998</v>
      </c>
      <c r="D26">
        <f>G6+(C5*C9)</f>
        <v>0.33899999999999997</v>
      </c>
      <c r="G26" s="10"/>
      <c r="H26" s="10">
        <f t="shared" si="127"/>
        <v>-1.3039699999999974E-2</v>
      </c>
      <c r="I26" s="6">
        <v>8</v>
      </c>
      <c r="J26" s="6">
        <f t="shared" si="85"/>
        <v>0.13899999999999998</v>
      </c>
      <c r="K26" s="6">
        <f t="shared" si="128"/>
        <v>-1.3039699999999974E-2</v>
      </c>
      <c r="L26" s="23">
        <f t="shared" si="86"/>
        <v>-7.5730825467994256</v>
      </c>
      <c r="M26">
        <f t="shared" si="87"/>
        <v>5.301522230924868</v>
      </c>
      <c r="N26" s="24">
        <f t="shared" si="88"/>
        <v>2.2815867299999999</v>
      </c>
      <c r="O26" s="23">
        <f t="shared" si="89"/>
        <v>-7.5821513652075829</v>
      </c>
      <c r="P26">
        <f t="shared" si="90"/>
        <v>5.3120562962692572</v>
      </c>
      <c r="Q26" s="24">
        <f t="shared" si="91"/>
        <v>2.28028276</v>
      </c>
      <c r="R26" s="23">
        <f t="shared" si="0"/>
        <v>-7.5912064398044201</v>
      </c>
      <c r="S26">
        <f t="shared" si="1"/>
        <v>5.3226021781217021</v>
      </c>
      <c r="T26" s="24">
        <f t="shared" si="2"/>
        <v>2.27897879</v>
      </c>
      <c r="U26" s="23">
        <f t="shared" si="3"/>
        <v>-7.6002477551932532</v>
      </c>
      <c r="V26">
        <f t="shared" si="4"/>
        <v>5.3331598585506432</v>
      </c>
      <c r="W26" s="24">
        <f t="shared" si="5"/>
        <v>2.2776748200000001</v>
      </c>
      <c r="X26" s="23">
        <f t="shared" si="6"/>
        <v>-7.6092752960007948</v>
      </c>
      <c r="Y26">
        <f t="shared" si="7"/>
        <v>5.3437293196044608</v>
      </c>
      <c r="Z26" s="24">
        <f t="shared" si="8"/>
        <v>2.2763708500000002</v>
      </c>
      <c r="AA26" s="23">
        <f t="shared" si="9"/>
        <v>-7.6182890468771784</v>
      </c>
      <c r="AB26">
        <f t="shared" si="10"/>
        <v>5.3543105433115032</v>
      </c>
      <c r="AC26" s="24">
        <f t="shared" si="11"/>
        <v>2.2750668800000002</v>
      </c>
      <c r="AD26" s="23">
        <f t="shared" si="12"/>
        <v>-7.6272889924959859</v>
      </c>
      <c r="AE26">
        <f t="shared" si="13"/>
        <v>5.3649035116801196</v>
      </c>
      <c r="AF26" s="24">
        <f t="shared" si="14"/>
        <v>2.2737629100000003</v>
      </c>
      <c r="AG26" s="23">
        <f t="shared" si="15"/>
        <v>-7.6362751175542716</v>
      </c>
      <c r="AH26">
        <f t="shared" si="16"/>
        <v>5.3755082066986883</v>
      </c>
      <c r="AI26" s="24">
        <f t="shared" si="17"/>
        <v>2.2724589400000004</v>
      </c>
      <c r="AJ26" s="23">
        <f t="shared" si="18"/>
        <v>-7.6452474067725902</v>
      </c>
      <c r="AK26">
        <f t="shared" si="19"/>
        <v>5.3861246103356475</v>
      </c>
      <c r="AL26" s="24">
        <f t="shared" si="20"/>
        <v>2.2711549700000004</v>
      </c>
      <c r="AM26" s="23">
        <f t="shared" si="21"/>
        <v>-7.6542058448950208</v>
      </c>
      <c r="AN26">
        <f t="shared" si="22"/>
        <v>5.3967527045395292</v>
      </c>
      <c r="AO26" s="24">
        <f t="shared" si="23"/>
        <v>2.2698510000000005</v>
      </c>
      <c r="AP26" s="23">
        <f t="shared" si="24"/>
        <v>-7.6631504166891959</v>
      </c>
      <c r="AQ26">
        <f t="shared" si="25"/>
        <v>5.4073924712389845</v>
      </c>
      <c r="AR26" s="24">
        <f t="shared" si="26"/>
        <v>2.2685470300000006</v>
      </c>
      <c r="AS26" s="23">
        <f t="shared" si="27"/>
        <v>-7.6720811069463242</v>
      </c>
      <c r="AT26">
        <f t="shared" si="28"/>
        <v>5.41804389234282</v>
      </c>
      <c r="AU26" s="24">
        <f t="shared" si="29"/>
        <v>2.2672430600000006</v>
      </c>
      <c r="AV26" s="23">
        <f t="shared" si="30"/>
        <v>-7.6809979004812181</v>
      </c>
      <c r="AW26">
        <f t="shared" si="31"/>
        <v>5.4287069497400244</v>
      </c>
      <c r="AX26" s="24">
        <f t="shared" si="32"/>
        <v>2.2659390900000007</v>
      </c>
      <c r="AY26" s="23">
        <f t="shared" si="33"/>
        <v>-7.6899007821323186</v>
      </c>
      <c r="AZ26">
        <f t="shared" si="34"/>
        <v>5.4393816252998013</v>
      </c>
      <c r="BA26" s="24">
        <f t="shared" si="35"/>
        <v>2.2646351200000008</v>
      </c>
      <c r="BB26" s="23">
        <f t="shared" si="36"/>
        <v>-7.6987897367617224</v>
      </c>
      <c r="BC26">
        <f t="shared" si="37"/>
        <v>5.4500679008715993</v>
      </c>
      <c r="BD26" s="24">
        <f t="shared" si="38"/>
        <v>2.2633311500000008</v>
      </c>
      <c r="BE26" s="23">
        <f t="shared" si="39"/>
        <v>-7.7076647492552057</v>
      </c>
      <c r="BF26">
        <f t="shared" si="40"/>
        <v>5.4607657582851425</v>
      </c>
      <c r="BG26" s="24">
        <f t="shared" si="41"/>
        <v>2.2620271800000009</v>
      </c>
      <c r="BH26" s="23">
        <f t="shared" si="42"/>
        <v>-7.7165258045222522</v>
      </c>
      <c r="BI26">
        <f t="shared" si="43"/>
        <v>5.4714751793504632</v>
      </c>
      <c r="BJ26" s="24">
        <f t="shared" si="44"/>
        <v>2.260723210000001</v>
      </c>
      <c r="BK26" s="23">
        <f t="shared" si="45"/>
        <v>-7.7253728874960776</v>
      </c>
      <c r="BL26">
        <f t="shared" si="46"/>
        <v>5.4821961458579311</v>
      </c>
      <c r="BM26" s="24">
        <f t="shared" si="47"/>
        <v>2.2594192400000011</v>
      </c>
      <c r="BN26" s="23">
        <f t="shared" si="48"/>
        <v>-7.7342059831336547</v>
      </c>
      <c r="BO26">
        <f t="shared" si="49"/>
        <v>5.4929286395782846</v>
      </c>
      <c r="BP26" s="24">
        <f t="shared" si="50"/>
        <v>2.2581152700000011</v>
      </c>
      <c r="BQ26" s="23">
        <f t="shared" si="51"/>
        <v>-7.7430250764157389</v>
      </c>
      <c r="BR26">
        <f t="shared" si="52"/>
        <v>5.5036726422626616</v>
      </c>
      <c r="BS26" s="24">
        <f t="shared" si="53"/>
        <v>2.2568113000000012</v>
      </c>
      <c r="BT26" s="23">
        <f t="shared" si="54"/>
        <v>-7.7518301523468951</v>
      </c>
      <c r="BU26">
        <f t="shared" si="55"/>
        <v>5.514428135642631</v>
      </c>
      <c r="BV26" s="24">
        <f t="shared" si="56"/>
        <v>2.2555073300000013</v>
      </c>
      <c r="BW26" s="23">
        <f t="shared" si="57"/>
        <v>-7.7606211959555234</v>
      </c>
      <c r="BX26">
        <f t="shared" si="58"/>
        <v>5.5251951014302243</v>
      </c>
      <c r="BY26" s="24">
        <f t="shared" si="59"/>
        <v>2.2542033600000013</v>
      </c>
      <c r="BZ26" s="23">
        <f t="shared" si="60"/>
        <v>-7.7693981922938811</v>
      </c>
      <c r="CA26">
        <f t="shared" si="61"/>
        <v>5.5359735213179651</v>
      </c>
      <c r="CB26" s="24">
        <f t="shared" si="62"/>
        <v>2.2528993900000014</v>
      </c>
      <c r="CC26" s="23">
        <f t="shared" si="63"/>
        <v>-7.7781611264381132</v>
      </c>
      <c r="CD26">
        <f t="shared" si="64"/>
        <v>5.5467633769789018</v>
      </c>
      <c r="CE26" s="24">
        <f t="shared" si="65"/>
        <v>2.2515954200000015</v>
      </c>
      <c r="CF26" s="23">
        <f t="shared" si="66"/>
        <v>-7.7869099834882736</v>
      </c>
      <c r="CG26">
        <f t="shared" si="67"/>
        <v>5.5575646500666389</v>
      </c>
      <c r="CH26" s="24">
        <f t="shared" si="68"/>
        <v>2.2502914500000015</v>
      </c>
      <c r="CI26" s="23">
        <f t="shared" si="69"/>
        <v>-7.7956447485683515</v>
      </c>
      <c r="CJ26">
        <f t="shared" si="70"/>
        <v>5.5683773222153654</v>
      </c>
      <c r="CK26" s="24">
        <f t="shared" si="71"/>
        <v>2.2489874800000016</v>
      </c>
      <c r="CL26" s="23">
        <f t="shared" si="72"/>
        <v>-7.8043654068262995</v>
      </c>
      <c r="CM26">
        <f t="shared" si="73"/>
        <v>5.5792013750398892</v>
      </c>
      <c r="CN26" s="24">
        <f t="shared" si="74"/>
        <v>2.2476835100000017</v>
      </c>
      <c r="CO26" s="23">
        <f t="shared" si="75"/>
        <v>-7.8130719434340543</v>
      </c>
      <c r="CP26">
        <f t="shared" si="76"/>
        <v>5.5900367901356676</v>
      </c>
      <c r="CQ26" s="24">
        <f t="shared" si="77"/>
        <v>2.2463795400000017</v>
      </c>
      <c r="CR26" s="23">
        <f t="shared" si="78"/>
        <v>-7.8217643435875654</v>
      </c>
      <c r="CS26">
        <f t="shared" si="79"/>
        <v>5.600883549078838</v>
      </c>
      <c r="CT26" s="24">
        <f t="shared" si="80"/>
        <v>2.2450755700000018</v>
      </c>
      <c r="CU26" s="23">
        <f t="shared" si="81"/>
        <v>-7.8304425925068184</v>
      </c>
      <c r="CV26">
        <f t="shared" si="82"/>
        <v>5.6117416334262487</v>
      </c>
      <c r="CW26" s="24">
        <f t="shared" si="83"/>
        <v>2.2437716000000019</v>
      </c>
      <c r="CY26" s="8">
        <f t="shared" si="129"/>
        <v>1.3613609146893346</v>
      </c>
      <c r="CZ26" s="8">
        <f t="shared" si="92"/>
        <v>1.3678553531532556</v>
      </c>
      <c r="DA26" s="8">
        <f t="shared" si="93"/>
        <v>1.3744755852981498</v>
      </c>
      <c r="DB26" s="8">
        <f t="shared" si="94"/>
        <v>1.3812197911507056</v>
      </c>
      <c r="DC26" s="8">
        <f t="shared" si="95"/>
        <v>1.3880861522997796</v>
      </c>
      <c r="DD26" s="8">
        <f t="shared" si="96"/>
        <v>1.3950728534627517</v>
      </c>
      <c r="DE26" s="8">
        <f t="shared" si="97"/>
        <v>1.4021780839786571</v>
      </c>
      <c r="DF26" s="8">
        <f t="shared" si="98"/>
        <v>1.4094000392280643</v>
      </c>
      <c r="DG26" s="8">
        <f t="shared" si="99"/>
        <v>1.4167369219799508</v>
      </c>
      <c r="DH26" s="8">
        <f t="shared" si="100"/>
        <v>1.4241869436660952</v>
      </c>
      <c r="DI26" s="8">
        <f t="shared" si="101"/>
        <v>1.4317483255837105</v>
      </c>
      <c r="DJ26" s="8">
        <f t="shared" si="102"/>
        <v>1.4394193000273083</v>
      </c>
      <c r="DK26" s="8">
        <f t="shared" si="103"/>
        <v>1.4471981113509202</v>
      </c>
      <c r="DL26" s="8">
        <f t="shared" si="104"/>
        <v>1.4550830169620235</v>
      </c>
      <c r="DM26" s="8">
        <f t="shared" si="105"/>
        <v>1.4630722882486435</v>
      </c>
      <c r="DN26" s="8">
        <f t="shared" si="106"/>
        <v>1.4711642114412535</v>
      </c>
      <c r="DO26">
        <f t="shared" si="107"/>
        <v>1.4793570884112035</v>
      </c>
      <c r="DP26" s="8">
        <f t="shared" si="108"/>
        <v>1.4876492374075112</v>
      </c>
      <c r="DQ26">
        <f t="shared" si="109"/>
        <v>1.4960389937339298</v>
      </c>
      <c r="DR26" s="8">
        <f t="shared" si="110"/>
        <v>1.5045247103682793</v>
      </c>
      <c r="DS26">
        <f t="shared" si="111"/>
        <v>1.5131047585260726</v>
      </c>
      <c r="DT26" s="8">
        <f t="shared" si="112"/>
        <v>1.5217775281705173</v>
      </c>
      <c r="DU26">
        <f t="shared" si="113"/>
        <v>1.5305414284709926</v>
      </c>
      <c r="DV26" s="8">
        <f t="shared" si="114"/>
        <v>1.5393948882121224</v>
      </c>
      <c r="DW26">
        <f t="shared" si="115"/>
        <v>1.5483363561555712</v>
      </c>
      <c r="DX26" s="8">
        <f t="shared" si="116"/>
        <v>1.5573643013566725</v>
      </c>
      <c r="DY26">
        <f t="shared" si="117"/>
        <v>1.5664772134380121</v>
      </c>
      <c r="DZ26" s="8">
        <f t="shared" si="118"/>
        <v>1.5756736028220431</v>
      </c>
      <c r="EA26">
        <f t="shared" si="119"/>
        <v>1.5849520009247866</v>
      </c>
      <c r="EB26" s="8">
        <f t="shared" si="120"/>
        <v>1.5943109603126551</v>
      </c>
      <c r="EC26">
        <f t="shared" si="121"/>
        <v>1.3613609146893346</v>
      </c>
      <c r="ED26" s="8">
        <f t="shared" si="122"/>
        <v>1.5943109603126551</v>
      </c>
      <c r="EF26" s="23">
        <f t="shared" si="123"/>
        <v>0.29517680572115923</v>
      </c>
      <c r="EG26" s="8">
        <f t="shared" si="84"/>
        <v>2.4504496464408025</v>
      </c>
      <c r="EH26">
        <f t="shared" si="124"/>
        <v>1.1415</v>
      </c>
      <c r="EI26" s="8">
        <f t="shared" si="125"/>
        <v>3.8871264521619615</v>
      </c>
    </row>
    <row r="27" spans="2:143" x14ac:dyDescent="0.3">
      <c r="B27" t="s">
        <v>49</v>
      </c>
      <c r="C27">
        <f>G7-C6*C9</f>
        <v>-0.37955900000000004</v>
      </c>
      <c r="D27">
        <f>G7+C6*C9</f>
        <v>0.24875900000000001</v>
      </c>
      <c r="G27" s="10"/>
      <c r="H27" s="10">
        <f t="shared" si="127"/>
        <v>3.9320200000000027E-2</v>
      </c>
      <c r="I27" s="6">
        <v>9</v>
      </c>
      <c r="J27" s="6">
        <f t="shared" si="85"/>
        <v>0.13899999999999998</v>
      </c>
      <c r="K27" s="6">
        <f t="shared" si="128"/>
        <v>3.9320200000000027E-2</v>
      </c>
      <c r="L27" s="23">
        <f t="shared" si="86"/>
        <v>-7.5730825467994256</v>
      </c>
      <c r="M27">
        <f t="shared" si="87"/>
        <v>5.301522230924868</v>
      </c>
      <c r="N27" s="24">
        <f t="shared" si="88"/>
        <v>2.28682272</v>
      </c>
      <c r="O27" s="23">
        <f t="shared" si="89"/>
        <v>-7.5822063969031372</v>
      </c>
      <c r="P27">
        <f t="shared" si="90"/>
        <v>5.3120086678452427</v>
      </c>
      <c r="Q27" s="24">
        <f t="shared" si="91"/>
        <v>2.2907547400000001</v>
      </c>
      <c r="R27" s="23">
        <f t="shared" si="0"/>
        <v>-7.5913714092494651</v>
      </c>
      <c r="S27">
        <f t="shared" si="1"/>
        <v>5.3224591486328263</v>
      </c>
      <c r="T27" s="24">
        <f t="shared" si="2"/>
        <v>2.2946867600000003</v>
      </c>
      <c r="U27" s="23">
        <f t="shared" si="3"/>
        <v>-7.6005774421403407</v>
      </c>
      <c r="V27">
        <f t="shared" si="4"/>
        <v>5.3328735117152295</v>
      </c>
      <c r="W27" s="24">
        <f t="shared" si="5"/>
        <v>2.2986187800000004</v>
      </c>
      <c r="X27" s="23">
        <f t="shared" si="6"/>
        <v>-7.6098243532434866</v>
      </c>
      <c r="Y27">
        <f t="shared" si="7"/>
        <v>5.3432515960784697</v>
      </c>
      <c r="Z27" s="24">
        <f t="shared" si="8"/>
        <v>2.3025508000000006</v>
      </c>
      <c r="AA27" s="23">
        <f t="shared" si="9"/>
        <v>-7.6191119995946162</v>
      </c>
      <c r="AB27">
        <f t="shared" si="10"/>
        <v>5.3535932412694605</v>
      </c>
      <c r="AC27" s="24">
        <f t="shared" si="11"/>
        <v>2.3064828200000007</v>
      </c>
      <c r="AD27" s="23">
        <f t="shared" si="12"/>
        <v>-7.6284402375996461</v>
      </c>
      <c r="AE27">
        <f t="shared" si="13"/>
        <v>5.3638982873984942</v>
      </c>
      <c r="AF27" s="24">
        <f t="shared" si="14"/>
        <v>2.3104148400000009</v>
      </c>
      <c r="AG27" s="23">
        <f t="shared" si="15"/>
        <v>-7.6378089230369151</v>
      </c>
      <c r="AH27">
        <f t="shared" si="16"/>
        <v>5.3741665751417118</v>
      </c>
      <c r="AI27" s="24">
        <f t="shared" si="17"/>
        <v>2.314346860000001</v>
      </c>
      <c r="AJ27" s="23">
        <f t="shared" si="18"/>
        <v>-7.6472179110594123</v>
      </c>
      <c r="AK27">
        <f t="shared" si="19"/>
        <v>5.3843979457435669</v>
      </c>
      <c r="AL27" s="24">
        <f t="shared" si="20"/>
        <v>2.3182788800000012</v>
      </c>
      <c r="AM27" s="23">
        <f t="shared" si="21"/>
        <v>-7.65666705619702</v>
      </c>
      <c r="AN27">
        <f t="shared" si="22"/>
        <v>5.3945922410192795</v>
      </c>
      <c r="AO27" s="24">
        <f t="shared" si="23"/>
        <v>2.3222109000000013</v>
      </c>
      <c r="AP27" s="23">
        <f t="shared" si="24"/>
        <v>-7.6661562123587599</v>
      </c>
      <c r="AQ27">
        <f t="shared" si="25"/>
        <v>5.404749303357284</v>
      </c>
      <c r="AR27" s="24">
        <f t="shared" si="26"/>
        <v>2.3261429200000014</v>
      </c>
      <c r="AS27" s="23">
        <f t="shared" si="27"/>
        <v>-7.6756852328350531</v>
      </c>
      <c r="AT27">
        <f t="shared" si="28"/>
        <v>5.4148689757216628</v>
      </c>
      <c r="AU27" s="24">
        <f t="shared" si="29"/>
        <v>2.3300749400000016</v>
      </c>
      <c r="AV27" s="23">
        <f t="shared" si="30"/>
        <v>-7.6852539702999882</v>
      </c>
      <c r="AW27">
        <f t="shared" si="31"/>
        <v>5.4249511016545773</v>
      </c>
      <c r="AX27" s="24">
        <f t="shared" si="32"/>
        <v>2.3340069600000017</v>
      </c>
      <c r="AY27" s="23">
        <f t="shared" si="33"/>
        <v>-7.6948622768135984</v>
      </c>
      <c r="AZ27">
        <f t="shared" si="34"/>
        <v>5.4349955252786835</v>
      </c>
      <c r="BA27" s="24">
        <f t="shared" si="35"/>
        <v>2.3379389800000019</v>
      </c>
      <c r="BB27" s="23">
        <f t="shared" si="36"/>
        <v>-7.7045100038241499</v>
      </c>
      <c r="BC27">
        <f t="shared" si="37"/>
        <v>5.4450020912995454</v>
      </c>
      <c r="BD27" s="24">
        <f t="shared" si="38"/>
        <v>2.341871000000002</v>
      </c>
      <c r="BE27" s="23">
        <f t="shared" si="39"/>
        <v>-7.7141970021704376</v>
      </c>
      <c r="BF27">
        <f t="shared" si="40"/>
        <v>5.454970645008034</v>
      </c>
      <c r="BG27" s="24">
        <f t="shared" si="41"/>
        <v>2.3458030200000022</v>
      </c>
      <c r="BH27" s="23">
        <f t="shared" si="42"/>
        <v>-7.7239231220840923</v>
      </c>
      <c r="BI27">
        <f t="shared" si="43"/>
        <v>5.4649010322827181</v>
      </c>
      <c r="BJ27" s="24">
        <f t="shared" si="44"/>
        <v>2.3497350400000023</v>
      </c>
      <c r="BK27" s="23">
        <f t="shared" si="45"/>
        <v>-7.7336882131918943</v>
      </c>
      <c r="BL27">
        <f t="shared" si="46"/>
        <v>5.4747930995922509</v>
      </c>
      <c r="BM27" s="24">
        <f t="shared" si="47"/>
        <v>2.3536670600000025</v>
      </c>
      <c r="BN27" s="23">
        <f t="shared" si="48"/>
        <v>-7.7434921245181005</v>
      </c>
      <c r="BO27">
        <f t="shared" si="49"/>
        <v>5.4846466939977399</v>
      </c>
      <c r="BP27" s="24">
        <f t="shared" si="50"/>
        <v>2.3575990800000026</v>
      </c>
      <c r="BQ27" s="23">
        <f t="shared" si="51"/>
        <v>-7.753334704486778</v>
      </c>
      <c r="BR27">
        <f t="shared" si="52"/>
        <v>5.4944616631551133</v>
      </c>
      <c r="BS27" s="24">
        <f t="shared" si="53"/>
        <v>2.3615311000000028</v>
      </c>
      <c r="BT27" s="23">
        <f t="shared" si="54"/>
        <v>-7.7632158009241463</v>
      </c>
      <c r="BU27">
        <f t="shared" si="55"/>
        <v>5.5042378553174753</v>
      </c>
      <c r="BV27" s="24">
        <f t="shared" si="56"/>
        <v>2.3654631200000029</v>
      </c>
      <c r="BW27" s="23">
        <f t="shared" si="57"/>
        <v>-7.773135261060931</v>
      </c>
      <c r="BX27">
        <f t="shared" si="58"/>
        <v>5.5139751193374522</v>
      </c>
      <c r="BY27" s="24">
        <f t="shared" si="59"/>
        <v>2.3693951400000031</v>
      </c>
      <c r="BZ27" s="23">
        <f t="shared" si="60"/>
        <v>-7.7830929315347266</v>
      </c>
      <c r="CA27">
        <f t="shared" si="61"/>
        <v>5.5236733046695283</v>
      </c>
      <c r="CB27" s="24">
        <f t="shared" si="62"/>
        <v>2.3733271600000032</v>
      </c>
      <c r="CC27" s="23">
        <f t="shared" si="63"/>
        <v>-7.7930886583923655</v>
      </c>
      <c r="CD27">
        <f t="shared" si="64"/>
        <v>5.533332261372375</v>
      </c>
      <c r="CE27" s="24">
        <f t="shared" si="65"/>
        <v>2.3772591800000034</v>
      </c>
      <c r="CF27" s="23">
        <f t="shared" si="66"/>
        <v>-7.8031222870923012</v>
      </c>
      <c r="CG27">
        <f t="shared" si="67"/>
        <v>5.5429518401111677</v>
      </c>
      <c r="CH27" s="24">
        <f t="shared" si="68"/>
        <v>2.3811912000000035</v>
      </c>
      <c r="CI27" s="23">
        <f t="shared" si="69"/>
        <v>-7.8131936625069942</v>
      </c>
      <c r="CJ27">
        <f t="shared" si="70"/>
        <v>5.5525318921598945</v>
      </c>
      <c r="CK27" s="24">
        <f t="shared" si="71"/>
        <v>2.3851232200000037</v>
      </c>
      <c r="CL27" s="23">
        <f t="shared" si="72"/>
        <v>-7.8233026289253127</v>
      </c>
      <c r="CM27">
        <f t="shared" si="73"/>
        <v>5.5620722694036573</v>
      </c>
      <c r="CN27" s="24">
        <f t="shared" si="74"/>
        <v>2.3890552400000038</v>
      </c>
      <c r="CO27" s="23">
        <f t="shared" si="75"/>
        <v>-7.8334490300549398</v>
      </c>
      <c r="CP27">
        <f t="shared" si="76"/>
        <v>5.5715728243409597</v>
      </c>
      <c r="CQ27" s="24">
        <f t="shared" si="77"/>
        <v>2.3929872600000039</v>
      </c>
      <c r="CR27" s="23">
        <f t="shared" si="78"/>
        <v>-7.8436327090247877</v>
      </c>
      <c r="CS27">
        <f t="shared" si="79"/>
        <v>5.5810334100859897</v>
      </c>
      <c r="CT27" s="24">
        <f t="shared" si="80"/>
        <v>2.3969192800000041</v>
      </c>
      <c r="CU27" s="23">
        <f t="shared" si="81"/>
        <v>-7.8538535083874272</v>
      </c>
      <c r="CV27">
        <f t="shared" si="82"/>
        <v>5.5904538803708892</v>
      </c>
      <c r="CW27" s="24">
        <f t="shared" si="83"/>
        <v>2.4008513000000042</v>
      </c>
      <c r="CY27" s="8">
        <f t="shared" si="129"/>
        <v>1.3613609146893346</v>
      </c>
      <c r="CZ27" s="8">
        <f t="shared" si="92"/>
        <v>1.3677910698854285</v>
      </c>
      <c r="DA27" s="8">
        <f t="shared" si="93"/>
        <v>1.3742835677271013</v>
      </c>
      <c r="DB27" s="8">
        <f t="shared" si="94"/>
        <v>1.3808374291698484</v>
      </c>
      <c r="DC27" s="8">
        <f t="shared" si="95"/>
        <v>1.3874516840248106</v>
      </c>
      <c r="DD27" s="8">
        <f t="shared" si="96"/>
        <v>1.3941253711758583</v>
      </c>
      <c r="DE27" s="8">
        <f t="shared" si="97"/>
        <v>1.4008575387780555</v>
      </c>
      <c r="DF27" s="8">
        <f t="shared" si="98"/>
        <v>1.4076472444381514</v>
      </c>
      <c r="DG27" s="8">
        <f t="shared" si="99"/>
        <v>1.4144935553777607</v>
      </c>
      <c r="DH27" s="8">
        <f t="shared" si="100"/>
        <v>1.4213955485798859</v>
      </c>
      <c r="DI27" s="8">
        <f t="shared" si="101"/>
        <v>1.4283523109194338</v>
      </c>
      <c r="DJ27" s="8">
        <f t="shared" si="102"/>
        <v>1.435362939278374</v>
      </c>
      <c r="DK27" s="8">
        <f t="shared" si="103"/>
        <v>1.4424265406461829</v>
      </c>
      <c r="DL27" s="8">
        <f t="shared" si="104"/>
        <v>1.4495422322062061</v>
      </c>
      <c r="DM27" s="8">
        <f t="shared" si="105"/>
        <v>1.4567091414085671</v>
      </c>
      <c r="DN27" s="8">
        <f t="shared" si="106"/>
        <v>1.4639264060302335</v>
      </c>
      <c r="DO27">
        <f t="shared" si="107"/>
        <v>1.4711931742228481</v>
      </c>
      <c r="DP27" s="8">
        <f t="shared" si="108"/>
        <v>1.4785086045489191</v>
      </c>
      <c r="DQ27">
        <f t="shared" si="109"/>
        <v>1.4858718660069381</v>
      </c>
      <c r="DR27" s="8">
        <f t="shared" si="110"/>
        <v>1.4932821380460033</v>
      </c>
      <c r="DS27">
        <f t="shared" si="111"/>
        <v>1.5007386105704923</v>
      </c>
      <c r="DT27" s="8">
        <f t="shared" si="112"/>
        <v>1.5082404839353192</v>
      </c>
      <c r="DU27">
        <f t="shared" si="113"/>
        <v>1.5157869689322983</v>
      </c>
      <c r="DV27" s="8">
        <f t="shared" si="114"/>
        <v>1.5233772867681235</v>
      </c>
      <c r="DW27">
        <f t="shared" si="115"/>
        <v>1.5310106690344438</v>
      </c>
      <c r="DX27" s="8">
        <f t="shared" si="116"/>
        <v>1.5386863576705172</v>
      </c>
      <c r="DY27">
        <f t="shared" si="117"/>
        <v>1.5464036049188963</v>
      </c>
      <c r="DZ27" s="8">
        <f t="shared" si="118"/>
        <v>1.5541616732745844</v>
      </c>
      <c r="EA27">
        <f t="shared" si="119"/>
        <v>1.5619598354280959</v>
      </c>
      <c r="EB27" s="8">
        <f t="shared" si="120"/>
        <v>1.5697973742028166</v>
      </c>
      <c r="EC27">
        <f t="shared" si="121"/>
        <v>1.3613609146893346</v>
      </c>
      <c r="ED27" s="8">
        <f t="shared" si="122"/>
        <v>1.5697973742028166</v>
      </c>
      <c r="EF27" s="23">
        <f t="shared" si="123"/>
        <v>0.13720366671568174</v>
      </c>
      <c r="EG27" s="8">
        <f t="shared" si="84"/>
        <v>2.4504496464408025</v>
      </c>
      <c r="EH27">
        <f t="shared" si="124"/>
        <v>1.1415</v>
      </c>
      <c r="EI27" s="8">
        <f t="shared" si="125"/>
        <v>3.729153313156484</v>
      </c>
    </row>
    <row r="28" spans="2:143" x14ac:dyDescent="0.3">
      <c r="G28" s="10"/>
      <c r="H28" s="10">
        <f t="shared" si="127"/>
        <v>9.1680100000000028E-2</v>
      </c>
      <c r="I28" s="6">
        <v>10</v>
      </c>
      <c r="J28" s="6">
        <f t="shared" si="85"/>
        <v>0.13899999999999998</v>
      </c>
      <c r="K28" s="6">
        <f t="shared" si="128"/>
        <v>9.1680100000000028E-2</v>
      </c>
      <c r="L28" s="23">
        <f t="shared" si="86"/>
        <v>-7.5730825467994256</v>
      </c>
      <c r="M28">
        <f t="shared" si="87"/>
        <v>5.301522230924868</v>
      </c>
      <c r="N28" s="24">
        <f t="shared" si="88"/>
        <v>2.2920587099999996</v>
      </c>
      <c r="O28" s="23">
        <f t="shared" si="89"/>
        <v>-7.5822611784635168</v>
      </c>
      <c r="P28">
        <f t="shared" si="90"/>
        <v>5.3119607519300169</v>
      </c>
      <c r="Q28" s="24">
        <f t="shared" si="91"/>
        <v>2.3012267199999994</v>
      </c>
      <c r="R28" s="23">
        <f t="shared" si="0"/>
        <v>-7.5915351235115898</v>
      </c>
      <c r="S28">
        <f t="shared" si="1"/>
        <v>5.3223146856387729</v>
      </c>
      <c r="T28" s="24">
        <f t="shared" si="2"/>
        <v>2.3103947299999992</v>
      </c>
      <c r="U28" s="23">
        <f t="shared" si="3"/>
        <v>-7.6009036024516972</v>
      </c>
      <c r="V28">
        <f t="shared" si="4"/>
        <v>5.3325831617841786</v>
      </c>
      <c r="W28" s="24">
        <f t="shared" si="5"/>
        <v>2.319562739999999</v>
      </c>
      <c r="X28" s="23">
        <f t="shared" si="6"/>
        <v>-7.610365827846147</v>
      </c>
      <c r="Y28">
        <f t="shared" si="7"/>
        <v>5.3427653172821383</v>
      </c>
      <c r="Z28" s="24">
        <f t="shared" si="8"/>
        <v>2.3287307499999987</v>
      </c>
      <c r="AA28" s="23">
        <f t="shared" si="9"/>
        <v>-7.6199210043776855</v>
      </c>
      <c r="AB28">
        <f t="shared" si="10"/>
        <v>5.352860296303966</v>
      </c>
      <c r="AC28" s="24">
        <f t="shared" si="11"/>
        <v>2.3378987599999985</v>
      </c>
      <c r="AD28" s="23">
        <f t="shared" si="12"/>
        <v>-7.6295683289163483</v>
      </c>
      <c r="AE28">
        <f t="shared" si="13"/>
        <v>5.362867250348315</v>
      </c>
      <c r="AF28" s="24">
        <f t="shared" si="14"/>
        <v>2.3470667699999983</v>
      </c>
      <c r="AG28" s="23">
        <f t="shared" si="15"/>
        <v>-7.6393069905869631</v>
      </c>
      <c r="AH28">
        <f t="shared" si="16"/>
        <v>5.3727853383124993</v>
      </c>
      <c r="AI28" s="24">
        <f t="shared" si="17"/>
        <v>2.3562347799999981</v>
      </c>
      <c r="AJ28" s="23">
        <f t="shared" si="18"/>
        <v>-7.6491361708373056</v>
      </c>
      <c r="AK28">
        <f t="shared" si="19"/>
        <v>5.3826137265631875</v>
      </c>
      <c r="AL28" s="24">
        <f t="shared" si="20"/>
        <v>2.3654027899999979</v>
      </c>
      <c r="AM28" s="23">
        <f t="shared" si="21"/>
        <v>-7.6590550435069007</v>
      </c>
      <c r="AN28">
        <f t="shared" si="22"/>
        <v>5.3923515890064735</v>
      </c>
      <c r="AO28" s="24">
        <f t="shared" si="23"/>
        <v>2.3745707999999977</v>
      </c>
      <c r="AP28" s="23">
        <f t="shared" si="24"/>
        <v>-7.669062774896461</v>
      </c>
      <c r="AQ28">
        <f t="shared" si="25"/>
        <v>5.4019981071573095</v>
      </c>
      <c r="AR28" s="24">
        <f t="shared" si="26"/>
        <v>2.3837388099999974</v>
      </c>
      <c r="AS28" s="23">
        <f t="shared" si="27"/>
        <v>-7.6791585238379625</v>
      </c>
      <c r="AT28">
        <f t="shared" si="28"/>
        <v>5.411552470208302</v>
      </c>
      <c r="AU28" s="24">
        <f t="shared" si="29"/>
        <v>2.3929068199999972</v>
      </c>
      <c r="AV28" s="23">
        <f t="shared" si="30"/>
        <v>-7.6893414417653467</v>
      </c>
      <c r="AW28">
        <f t="shared" si="31"/>
        <v>5.4210138750978603</v>
      </c>
      <c r="AX28" s="24">
        <f t="shared" si="32"/>
        <v>2.402074829999997</v>
      </c>
      <c r="AY28" s="23">
        <f t="shared" si="33"/>
        <v>-7.6996106727858429</v>
      </c>
      <c r="AZ28">
        <f t="shared" si="34"/>
        <v>5.4303815265776958</v>
      </c>
      <c r="BA28" s="24">
        <f t="shared" si="35"/>
        <v>2.4112428399999968</v>
      </c>
      <c r="BB28" s="23">
        <f t="shared" si="36"/>
        <v>-7.7099653537519082</v>
      </c>
      <c r="BC28">
        <f t="shared" si="37"/>
        <v>5.4396546372796664</v>
      </c>
      <c r="BD28" s="24">
        <f t="shared" si="38"/>
        <v>2.4204108499999966</v>
      </c>
      <c r="BE28" s="23">
        <f t="shared" si="39"/>
        <v>-7.7204046143337761</v>
      </c>
      <c r="BF28">
        <f t="shared" si="40"/>
        <v>5.4488324277819533</v>
      </c>
      <c r="BG28" s="24">
        <f t="shared" si="41"/>
        <v>2.4295788599999963</v>
      </c>
      <c r="BH28" s="23">
        <f t="shared" si="42"/>
        <v>-7.7309275770926096</v>
      </c>
      <c r="BI28">
        <f t="shared" si="43"/>
        <v>5.4579141266745728</v>
      </c>
      <c r="BJ28" s="24">
        <f t="shared" si="44"/>
        <v>2.4387468699999961</v>
      </c>
      <c r="BK28" s="23">
        <f t="shared" si="45"/>
        <v>-7.7415333575542506</v>
      </c>
      <c r="BL28">
        <f t="shared" si="46"/>
        <v>5.4668989706242179</v>
      </c>
      <c r="BM28" s="24">
        <f t="shared" si="47"/>
        <v>2.4479148799999959</v>
      </c>
      <c r="BN28" s="23">
        <f t="shared" si="48"/>
        <v>-7.7522210642835638</v>
      </c>
      <c r="BO28">
        <f t="shared" si="49"/>
        <v>5.475786204438414</v>
      </c>
      <c r="BP28" s="24">
        <f t="shared" si="50"/>
        <v>2.4570828899999957</v>
      </c>
      <c r="BQ28" s="23">
        <f t="shared" si="51"/>
        <v>-7.7629897989593619</v>
      </c>
      <c r="BR28">
        <f t="shared" si="52"/>
        <v>5.4845750811289964</v>
      </c>
      <c r="BS28" s="24">
        <f t="shared" si="53"/>
        <v>2.4662508999999955</v>
      </c>
      <c r="BT28" s="23">
        <f t="shared" si="54"/>
        <v>-7.7738386564499109</v>
      </c>
      <c r="BU28">
        <f t="shared" si="55"/>
        <v>5.4932648619748958</v>
      </c>
      <c r="BV28" s="24">
        <f t="shared" si="56"/>
        <v>2.4754189099999953</v>
      </c>
      <c r="BW28" s="23">
        <f t="shared" si="57"/>
        <v>-7.7847667248890087</v>
      </c>
      <c r="BX28">
        <f t="shared" si="58"/>
        <v>5.5018548165842285</v>
      </c>
      <c r="BY28" s="24">
        <f t="shared" si="59"/>
        <v>2.484586919999995</v>
      </c>
      <c r="BZ28" s="23">
        <f t="shared" si="60"/>
        <v>-7.7957730857526286</v>
      </c>
      <c r="CA28">
        <f t="shared" si="61"/>
        <v>5.5103442229556876</v>
      </c>
      <c r="CB28" s="24">
        <f t="shared" si="62"/>
        <v>2.4937549299999948</v>
      </c>
      <c r="CC28" s="23">
        <f t="shared" si="63"/>
        <v>-7.8068568139361245</v>
      </c>
      <c r="CD28">
        <f t="shared" si="64"/>
        <v>5.5187323675392284</v>
      </c>
      <c r="CE28" s="24">
        <f t="shared" si="65"/>
        <v>2.5029229399999946</v>
      </c>
      <c r="CF28" s="23">
        <f t="shared" si="66"/>
        <v>-7.8180169778319843</v>
      </c>
      <c r="CG28">
        <f t="shared" si="67"/>
        <v>5.5270185452960439</v>
      </c>
      <c r="CH28" s="24">
        <f t="shared" si="68"/>
        <v>2.5120909499999944</v>
      </c>
      <c r="CI28" s="23">
        <f t="shared" si="69"/>
        <v>-7.8292526394081374</v>
      </c>
      <c r="CJ28">
        <f t="shared" si="70"/>
        <v>5.5352020597578235</v>
      </c>
      <c r="CK28" s="24">
        <f t="shared" si="71"/>
        <v>2.5212589599999942</v>
      </c>
      <c r="CL28" s="23">
        <f t="shared" si="72"/>
        <v>-7.8405628542867936</v>
      </c>
      <c r="CM28">
        <f t="shared" si="73"/>
        <v>5.5432822230852947</v>
      </c>
      <c r="CN28" s="24">
        <f t="shared" si="74"/>
        <v>2.5304269699999939</v>
      </c>
      <c r="CO28" s="23">
        <f t="shared" si="75"/>
        <v>-7.851946671823824</v>
      </c>
      <c r="CP28">
        <f t="shared" si="76"/>
        <v>5.5512583561260351</v>
      </c>
      <c r="CQ28" s="24">
        <f t="shared" si="77"/>
        <v>2.5395949799999937</v>
      </c>
      <c r="CR28" s="23">
        <f t="shared" si="78"/>
        <v>-7.863403135188662</v>
      </c>
      <c r="CS28">
        <f t="shared" si="79"/>
        <v>5.5591297884715569</v>
      </c>
      <c r="CT28" s="24">
        <f t="shared" si="80"/>
        <v>2.5487629899999935</v>
      </c>
      <c r="CU28" s="23">
        <f t="shared" si="81"/>
        <v>-7.8749312814447263</v>
      </c>
      <c r="CV28">
        <f t="shared" si="82"/>
        <v>5.5668958585136563</v>
      </c>
      <c r="CW28" s="24">
        <f t="shared" si="83"/>
        <v>2.5579309999999933</v>
      </c>
      <c r="CY28" s="8">
        <f t="shared" si="129"/>
        <v>1.3613609146893346</v>
      </c>
      <c r="CZ28" s="8">
        <f t="shared" si="92"/>
        <v>1.3677266096526819</v>
      </c>
      <c r="DA28" s="8">
        <f t="shared" si="93"/>
        <v>1.3740906590655655</v>
      </c>
      <c r="DB28" s="8">
        <f t="shared" si="94"/>
        <v>1.3804525544748623</v>
      </c>
      <c r="DC28" s="8">
        <f t="shared" si="95"/>
        <v>1.3868117944742926</v>
      </c>
      <c r="DD28" s="8">
        <f t="shared" si="96"/>
        <v>1.3931678845793196</v>
      </c>
      <c r="DE28" s="8">
        <f t="shared" si="97"/>
        <v>1.3995203371040594</v>
      </c>
      <c r="DF28" s="8">
        <f t="shared" si="98"/>
        <v>1.4058686710402331</v>
      </c>
      <c r="DG28" s="8">
        <f t="shared" si="99"/>
        <v>1.4122124119381529</v>
      </c>
      <c r="DH28" s="8">
        <f t="shared" si="100"/>
        <v>1.4185510917897606</v>
      </c>
      <c r="DI28" s="8">
        <f t="shared" si="101"/>
        <v>1.4248842489137048</v>
      </c>
      <c r="DJ28" s="8">
        <f t="shared" si="102"/>
        <v>1.4312114278424655</v>
      </c>
      <c r="DK28" s="8">
        <f t="shared" si="103"/>
        <v>1.4375321792115154</v>
      </c>
      <c r="DL28" s="8">
        <f t="shared" si="104"/>
        <v>1.4438460596505147</v>
      </c>
      <c r="DM28" s="8">
        <f t="shared" si="105"/>
        <v>1.4501526316765245</v>
      </c>
      <c r="DN28" s="8">
        <f t="shared" si="106"/>
        <v>1.4564514635892314</v>
      </c>
      <c r="DO28">
        <f t="shared" si="107"/>
        <v>1.4627421293681628</v>
      </c>
      <c r="DP28" s="8">
        <f t="shared" si="108"/>
        <v>1.4690242085718908</v>
      </c>
      <c r="DQ28">
        <f t="shared" si="109"/>
        <v>1.4752972862391851</v>
      </c>
      <c r="DR28" s="8">
        <f t="shared" si="110"/>
        <v>1.4815609527921219</v>
      </c>
      <c r="DS28">
        <f t="shared" si="111"/>
        <v>1.4878148039411072</v>
      </c>
      <c r="DT28" s="8">
        <f t="shared" si="112"/>
        <v>1.4940584405918071</v>
      </c>
      <c r="DU28">
        <f t="shared" si="113"/>
        <v>1.5002914687539544</v>
      </c>
      <c r="DV28" s="8">
        <f t="shared" si="114"/>
        <v>1.5065134994520126</v>
      </c>
      <c r="DW28">
        <f t="shared" si="115"/>
        <v>1.5127241486376741</v>
      </c>
      <c r="DX28" s="8">
        <f t="shared" si="116"/>
        <v>1.5189230371041624</v>
      </c>
      <c r="DY28">
        <f t="shared" si="117"/>
        <v>1.5251097904023201</v>
      </c>
      <c r="DZ28" s="8">
        <f t="shared" si="118"/>
        <v>1.5312840387584501</v>
      </c>
      <c r="EA28">
        <f t="shared" si="119"/>
        <v>1.5374454169938867</v>
      </c>
      <c r="EB28" s="8">
        <f t="shared" si="120"/>
        <v>1.5435935644462722</v>
      </c>
      <c r="EC28">
        <f t="shared" si="121"/>
        <v>1.3613609146893346</v>
      </c>
      <c r="ED28" s="8">
        <f t="shared" si="122"/>
        <v>1.5435935644462722</v>
      </c>
      <c r="EF28" s="23">
        <f t="shared" si="123"/>
        <v>2.0785568832756951E-2</v>
      </c>
      <c r="EG28" s="8">
        <f t="shared" si="84"/>
        <v>2.4504496464408025</v>
      </c>
      <c r="EH28">
        <f t="shared" si="124"/>
        <v>1.1415</v>
      </c>
      <c r="EI28" s="8">
        <f t="shared" si="125"/>
        <v>3.6127352152735597</v>
      </c>
    </row>
    <row r="29" spans="2:143" x14ac:dyDescent="0.3">
      <c r="B29" t="s">
        <v>175</v>
      </c>
      <c r="G29" s="10"/>
      <c r="H29" s="10">
        <f t="shared" si="127"/>
        <v>0.14404000000000003</v>
      </c>
      <c r="I29" s="6">
        <v>11</v>
      </c>
      <c r="J29" s="6">
        <f t="shared" si="85"/>
        <v>0.13899999999999998</v>
      </c>
      <c r="K29" s="6">
        <f t="shared" si="128"/>
        <v>0.14404000000000003</v>
      </c>
      <c r="L29" s="23">
        <f t="shared" si="86"/>
        <v>-7.5730825467994256</v>
      </c>
      <c r="M29">
        <f t="shared" si="87"/>
        <v>5.301522230924868</v>
      </c>
      <c r="N29" s="24">
        <f t="shared" si="88"/>
        <v>2.2972946999999997</v>
      </c>
      <c r="O29" s="23">
        <f t="shared" si="89"/>
        <v>-7.582315708386858</v>
      </c>
      <c r="P29">
        <f t="shared" si="90"/>
        <v>5.3119125498372197</v>
      </c>
      <c r="Q29" s="24">
        <f t="shared" si="91"/>
        <v>2.3116986999999996</v>
      </c>
      <c r="R29" s="23">
        <f t="shared" si="0"/>
        <v>-7.5916975691432222</v>
      </c>
      <c r="S29">
        <f t="shared" si="1"/>
        <v>5.3221688010406663</v>
      </c>
      <c r="T29" s="24">
        <f t="shared" si="2"/>
        <v>2.3261026999999994</v>
      </c>
      <c r="U29" s="23">
        <f t="shared" si="3"/>
        <v>-7.6012261825985856</v>
      </c>
      <c r="V29">
        <f t="shared" si="4"/>
        <v>5.3322888566540643</v>
      </c>
      <c r="W29" s="24">
        <f t="shared" si="5"/>
        <v>2.3405066999999993</v>
      </c>
      <c r="X29" s="23">
        <f t="shared" si="6"/>
        <v>-7.6108995718359944</v>
      </c>
      <c r="Y29">
        <f t="shared" si="7"/>
        <v>5.342270617052991</v>
      </c>
      <c r="Z29" s="24">
        <f t="shared" si="8"/>
        <v>2.3549106999999991</v>
      </c>
      <c r="AA29" s="23">
        <f t="shared" si="9"/>
        <v>-7.6207157299016259</v>
      </c>
      <c r="AB29">
        <f t="shared" si="10"/>
        <v>5.3521120113053584</v>
      </c>
      <c r="AC29" s="24">
        <f t="shared" si="11"/>
        <v>2.369314699999999</v>
      </c>
      <c r="AD29" s="23">
        <f t="shared" si="12"/>
        <v>-7.6306726202211781</v>
      </c>
      <c r="AE29">
        <f t="shared" si="13"/>
        <v>5.3618109976010704</v>
      </c>
      <c r="AF29" s="24">
        <f t="shared" si="14"/>
        <v>2.3837186999999989</v>
      </c>
      <c r="AG29" s="23">
        <f t="shared" si="15"/>
        <v>-7.6407681770223972</v>
      </c>
      <c r="AH29">
        <f t="shared" si="16"/>
        <v>5.3713655636756421</v>
      </c>
      <c r="AI29" s="24">
        <f t="shared" si="17"/>
        <v>2.3981226999999987</v>
      </c>
      <c r="AJ29" s="23">
        <f t="shared" si="18"/>
        <v>-7.6510003057636702</v>
      </c>
      <c r="AK29">
        <f t="shared" si="19"/>
        <v>5.3807737272276865</v>
      </c>
      <c r="AL29" s="24">
        <f t="shared" si="20"/>
        <v>2.4125266999999986</v>
      </c>
      <c r="AM29" s="23">
        <f t="shared" si="21"/>
        <v>-7.6613668835685802</v>
      </c>
      <c r="AN29">
        <f t="shared" si="22"/>
        <v>5.3900335363301872</v>
      </c>
      <c r="AO29" s="24">
        <f t="shared" si="23"/>
        <v>2.4269306999999984</v>
      </c>
      <c r="AP29" s="23">
        <f t="shared" si="24"/>
        <v>-7.6718657596663435</v>
      </c>
      <c r="AQ29">
        <f t="shared" si="25"/>
        <v>5.3991430698354668</v>
      </c>
      <c r="AR29" s="24">
        <f t="shared" si="26"/>
        <v>2.4413346999999983</v>
      </c>
      <c r="AS29" s="23">
        <f t="shared" si="27"/>
        <v>-7.6824947558380359</v>
      </c>
      <c r="AT29">
        <f t="shared" si="28"/>
        <v>5.4081004377737703</v>
      </c>
      <c r="AU29" s="24">
        <f t="shared" si="29"/>
        <v>2.4557386999999982</v>
      </c>
      <c r="AV29" s="23">
        <f t="shared" si="30"/>
        <v>-7.693251666868508</v>
      </c>
      <c r="AW29">
        <f t="shared" si="31"/>
        <v>5.4169037817453818</v>
      </c>
      <c r="AX29" s="24">
        <f t="shared" si="32"/>
        <v>2.470142699999998</v>
      </c>
      <c r="AY29" s="23">
        <f t="shared" si="33"/>
        <v>-7.7041342610039072</v>
      </c>
      <c r="AZ29">
        <f t="shared" si="34"/>
        <v>5.4255512753061881</v>
      </c>
      <c r="BA29" s="24">
        <f t="shared" si="35"/>
        <v>2.4845466999999979</v>
      </c>
      <c r="BB29" s="23">
        <f t="shared" si="36"/>
        <v>-7.7151402804147011</v>
      </c>
      <c r="BC29">
        <f t="shared" si="37"/>
        <v>5.4340411243466145</v>
      </c>
      <c r="BD29" s="24">
        <f t="shared" si="38"/>
        <v>2.4989506999999977</v>
      </c>
      <c r="BE29" s="23">
        <f t="shared" si="39"/>
        <v>-7.7262674416641159</v>
      </c>
      <c r="BF29">
        <f t="shared" si="40"/>
        <v>5.4423715674638515</v>
      </c>
      <c r="BG29" s="24">
        <f t="shared" si="41"/>
        <v>2.5133546999999976</v>
      </c>
      <c r="BH29" s="23">
        <f t="shared" si="42"/>
        <v>-7.7375134361818825</v>
      </c>
      <c r="BI29">
        <f t="shared" si="43"/>
        <v>5.4505408763272962</v>
      </c>
      <c r="BJ29" s="24">
        <f t="shared" si="44"/>
        <v>2.5277586999999975</v>
      </c>
      <c r="BK29" s="23">
        <f t="shared" si="45"/>
        <v>-7.7488759307431998</v>
      </c>
      <c r="BL29">
        <f t="shared" si="46"/>
        <v>5.4585473560371325</v>
      </c>
      <c r="BM29" s="24">
        <f t="shared" si="47"/>
        <v>2.5421626999999973</v>
      </c>
      <c r="BN29" s="23">
        <f t="shared" si="48"/>
        <v>-7.7603525679528138</v>
      </c>
      <c r="BO29">
        <f t="shared" si="49"/>
        <v>5.4663893454759735</v>
      </c>
      <c r="BP29" s="24">
        <f t="shared" si="50"/>
        <v>2.5565666999999972</v>
      </c>
      <c r="BQ29" s="23">
        <f t="shared" si="51"/>
        <v>-7.7719409667341086</v>
      </c>
      <c r="BR29">
        <f t="shared" si="52"/>
        <v>5.4740652176534974</v>
      </c>
      <c r="BS29" s="24">
        <f t="shared" si="53"/>
        <v>2.5709706999999971</v>
      </c>
      <c r="BT29" s="23">
        <f t="shared" si="54"/>
        <v>-7.7836387228231132</v>
      </c>
      <c r="BU29">
        <f t="shared" si="55"/>
        <v>5.4815733800439999</v>
      </c>
      <c r="BV29" s="24">
        <f t="shared" si="56"/>
        <v>2.5853746999999969</v>
      </c>
      <c r="BW29" s="23">
        <f t="shared" si="57"/>
        <v>-7.7954434092673175</v>
      </c>
      <c r="BX29">
        <f t="shared" si="58"/>
        <v>5.4889122749168004</v>
      </c>
      <c r="BY29" s="24">
        <f t="shared" si="59"/>
        <v>2.5997786999999968</v>
      </c>
      <c r="BZ29" s="23">
        <f t="shared" si="60"/>
        <v>-7.8073525769291976</v>
      </c>
      <c r="CA29">
        <f t="shared" si="61"/>
        <v>5.4960803796594249</v>
      </c>
      <c r="CB29" s="24">
        <f t="shared" si="62"/>
        <v>2.6141826999999966</v>
      </c>
      <c r="CC29" s="23">
        <f t="shared" si="63"/>
        <v>-7.8193637549943391</v>
      </c>
      <c r="CD29">
        <f t="shared" si="64"/>
        <v>5.5030762070935069</v>
      </c>
      <c r="CE29" s="24">
        <f t="shared" si="65"/>
        <v>2.6285866999999965</v>
      </c>
      <c r="CF29" s="23">
        <f t="shared" si="66"/>
        <v>-7.8314744514840653</v>
      </c>
      <c r="CG29">
        <f t="shared" si="67"/>
        <v>5.5098983057833344</v>
      </c>
      <c r="CH29" s="24">
        <f t="shared" si="68"/>
        <v>2.6429906999999964</v>
      </c>
      <c r="CI29" s="23">
        <f t="shared" si="69"/>
        <v>-7.8436821537724484</v>
      </c>
      <c r="CJ29">
        <f t="shared" si="70"/>
        <v>5.5165452603369785</v>
      </c>
      <c r="CK29" s="24">
        <f t="shared" si="71"/>
        <v>2.6573946999999962</v>
      </c>
      <c r="CL29" s="23">
        <f t="shared" si="72"/>
        <v>-7.8559843291076099</v>
      </c>
      <c r="CM29">
        <f t="shared" si="73"/>
        <v>5.5230156916999524</v>
      </c>
      <c r="CN29" s="24">
        <f t="shared" si="74"/>
        <v>2.6717986999999961</v>
      </c>
      <c r="CO29" s="23">
        <f t="shared" si="75"/>
        <v>-7.8683784251371947</v>
      </c>
      <c r="CP29">
        <f t="shared" si="76"/>
        <v>5.529308257441321</v>
      </c>
      <c r="CQ29" s="24">
        <f t="shared" si="77"/>
        <v>2.6862026999999959</v>
      </c>
      <c r="CR29" s="23">
        <f t="shared" si="78"/>
        <v>-7.8808618704379105</v>
      </c>
      <c r="CS29">
        <f t="shared" si="79"/>
        <v>5.5354216520322197</v>
      </c>
      <c r="CT29" s="24">
        <f t="shared" si="80"/>
        <v>2.7006066999999958</v>
      </c>
      <c r="CU29" s="23">
        <f t="shared" si="81"/>
        <v>-7.8934320750490281</v>
      </c>
      <c r="CV29">
        <f t="shared" si="82"/>
        <v>5.5413546071167161</v>
      </c>
      <c r="CW29" s="24">
        <f t="shared" si="83"/>
        <v>2.7150106999999957</v>
      </c>
      <c r="CY29" s="8">
        <f t="shared" si="129"/>
        <v>1.3613609146893346</v>
      </c>
      <c r="CZ29" s="8">
        <f t="shared" si="92"/>
        <v>1.3676619741973286</v>
      </c>
      <c r="DA29" s="8">
        <f t="shared" si="93"/>
        <v>1.3738968748189873</v>
      </c>
      <c r="DB29" s="8">
        <f t="shared" si="94"/>
        <v>1.3800652283770427</v>
      </c>
      <c r="DC29" s="8">
        <f t="shared" si="95"/>
        <v>1.3861666519842788</v>
      </c>
      <c r="DD29" s="8">
        <f t="shared" si="96"/>
        <v>1.3922007680054136</v>
      </c>
      <c r="DE29" s="8">
        <f t="shared" si="97"/>
        <v>1.3981672040210311</v>
      </c>
      <c r="DF29" s="8">
        <f t="shared" si="98"/>
        <v>1.4040655927934724</v>
      </c>
      <c r="DG29" s="8">
        <f t="shared" si="99"/>
        <v>1.4098955722345745</v>
      </c>
      <c r="DH29" s="8">
        <f t="shared" si="100"/>
        <v>1.4156567853751769</v>
      </c>
      <c r="DI29" s="8">
        <f t="shared" si="101"/>
        <v>1.4213488803362984</v>
      </c>
      <c r="DJ29" s="8">
        <f t="shared" si="102"/>
        <v>1.4269715103019023</v>
      </c>
      <c r="DK29" s="8">
        <f t="shared" si="103"/>
        <v>1.4325243334931776</v>
      </c>
      <c r="DL29" s="8">
        <f t="shared" si="104"/>
        <v>1.4380070131442502</v>
      </c>
      <c r="DM29" s="8">
        <f t="shared" si="105"/>
        <v>1.4434192174792597</v>
      </c>
      <c r="DN29" s="8">
        <f t="shared" si="106"/>
        <v>1.4487606196907321</v>
      </c>
      <c r="DO29">
        <f t="shared" si="107"/>
        <v>1.4540308979191834</v>
      </c>
      <c r="DP29" s="8">
        <f t="shared" si="108"/>
        <v>1.4592297352338919</v>
      </c>
      <c r="DQ29">
        <f t="shared" si="109"/>
        <v>1.4643568196147807</v>
      </c>
      <c r="DR29" s="8">
        <f t="shared" si="110"/>
        <v>1.4694118439353563</v>
      </c>
      <c r="DS29">
        <f t="shared" si="111"/>
        <v>1.474394505946649</v>
      </c>
      <c r="DT29" s="8">
        <f t="shared" si="112"/>
        <v>1.479304508262105</v>
      </c>
      <c r="DU29">
        <f t="shared" si="113"/>
        <v>1.4841415583433792</v>
      </c>
      <c r="DV29" s="8">
        <f t="shared" si="114"/>
        <v>1.4889053684869937</v>
      </c>
      <c r="DW29">
        <f t="shared" si="115"/>
        <v>1.4935956558118013</v>
      </c>
      <c r="DX29" s="8">
        <f t="shared" si="116"/>
        <v>1.4982121422472259</v>
      </c>
      <c r="DY29">
        <f t="shared" si="117"/>
        <v>1.5027545545222387</v>
      </c>
      <c r="DZ29" s="8">
        <f t="shared" si="118"/>
        <v>1.5072226241550239</v>
      </c>
      <c r="EA29">
        <f t="shared" si="119"/>
        <v>1.5116160874433093</v>
      </c>
      <c r="EB29" s="8">
        <f t="shared" si="120"/>
        <v>1.5159346854553213</v>
      </c>
      <c r="EC29">
        <f t="shared" si="121"/>
        <v>1.3613609146893346</v>
      </c>
      <c r="ED29" s="8">
        <f t="shared" si="122"/>
        <v>1.5159346854553213</v>
      </c>
      <c r="EF29" s="23">
        <f t="shared" si="123"/>
        <v>0.17877978034848185</v>
      </c>
      <c r="EG29" s="8">
        <f t="shared" si="84"/>
        <v>2.4504496464408025</v>
      </c>
      <c r="EH29">
        <f t="shared" si="124"/>
        <v>1.1415</v>
      </c>
      <c r="EI29" s="8">
        <f t="shared" si="125"/>
        <v>3.7707294267892841</v>
      </c>
    </row>
    <row r="30" spans="2:143" x14ac:dyDescent="0.3">
      <c r="G30" s="10"/>
      <c r="H30" s="10">
        <f t="shared" si="127"/>
        <v>0.19639990000000002</v>
      </c>
      <c r="I30" s="6">
        <v>12</v>
      </c>
      <c r="J30" s="6">
        <f t="shared" si="85"/>
        <v>0.13899999999999998</v>
      </c>
      <c r="K30" s="6">
        <f t="shared" si="128"/>
        <v>0.19639990000000002</v>
      </c>
      <c r="L30" s="23">
        <f t="shared" si="86"/>
        <v>-7.5730825467994256</v>
      </c>
      <c r="M30">
        <f t="shared" si="87"/>
        <v>5.301522230924868</v>
      </c>
      <c r="N30" s="24">
        <f t="shared" si="88"/>
        <v>2.3025306899999998</v>
      </c>
      <c r="O30" s="23">
        <f t="shared" si="89"/>
        <v>-7.5823699851781923</v>
      </c>
      <c r="P30">
        <f t="shared" si="90"/>
        <v>5.3118640628883362</v>
      </c>
      <c r="Q30" s="24">
        <f t="shared" si="91"/>
        <v>2.3221706799999997</v>
      </c>
      <c r="R30" s="23">
        <f t="shared" si="0"/>
        <v>-7.5918587328152105</v>
      </c>
      <c r="S30">
        <f t="shared" si="1"/>
        <v>5.3220215068719865</v>
      </c>
      <c r="T30" s="24">
        <f t="shared" si="2"/>
        <v>2.3418106699999997</v>
      </c>
      <c r="U30" s="23">
        <f t="shared" si="3"/>
        <v>-7.6015451297410248</v>
      </c>
      <c r="V30">
        <f t="shared" si="4"/>
        <v>5.3319906449789434</v>
      </c>
      <c r="W30" s="24">
        <f t="shared" si="5"/>
        <v>2.3614506599999996</v>
      </c>
      <c r="X30" s="23">
        <f t="shared" si="6"/>
        <v>-7.611425439749528</v>
      </c>
      <c r="Y30">
        <f t="shared" si="7"/>
        <v>5.3417676319450731</v>
      </c>
      <c r="Z30" s="24">
        <f t="shared" si="8"/>
        <v>2.3810906499999995</v>
      </c>
      <c r="AA30" s="23">
        <f t="shared" si="9"/>
        <v>-7.621495851839077</v>
      </c>
      <c r="AB30">
        <f t="shared" si="10"/>
        <v>5.3513486966221677</v>
      </c>
      <c r="AC30" s="24">
        <f t="shared" si="11"/>
        <v>2.4007306399999995</v>
      </c>
      <c r="AD30" s="23">
        <f t="shared" si="12"/>
        <v>-7.6317524816824607</v>
      </c>
      <c r="AE30">
        <f t="shared" si="13"/>
        <v>5.3607301434325381</v>
      </c>
      <c r="AF30" s="24">
        <f t="shared" si="14"/>
        <v>2.4203706299999994</v>
      </c>
      <c r="AG30" s="23">
        <f t="shared" si="15"/>
        <v>-7.6421913731251507</v>
      </c>
      <c r="AH30">
        <f t="shared" si="16"/>
        <v>5.3699083537944619</v>
      </c>
      <c r="AI30" s="24">
        <f t="shared" si="17"/>
        <v>2.4400106199999994</v>
      </c>
      <c r="AJ30" s="23">
        <f t="shared" si="18"/>
        <v>-7.6528084997112567</v>
      </c>
      <c r="AK30">
        <f t="shared" si="19"/>
        <v>5.3788797875179313</v>
      </c>
      <c r="AL30" s="24">
        <f t="shared" si="20"/>
        <v>2.4596506099999993</v>
      </c>
      <c r="AM30" s="23">
        <f t="shared" si="21"/>
        <v>-7.6635997662365964</v>
      </c>
      <c r="AN30">
        <f t="shared" si="22"/>
        <v>5.3876409841701633</v>
      </c>
      <c r="AO30" s="24">
        <f t="shared" si="23"/>
        <v>2.4792905999999992</v>
      </c>
      <c r="AP30" s="23">
        <f t="shared" si="24"/>
        <v>-7.6745610103282873</v>
      </c>
      <c r="AQ30">
        <f t="shared" si="25"/>
        <v>5.3961885644103473</v>
      </c>
      <c r="AR30" s="24">
        <f t="shared" si="26"/>
        <v>2.4989305899999992</v>
      </c>
      <c r="AS30" s="23">
        <f t="shared" si="27"/>
        <v>-7.6856880040502409</v>
      </c>
      <c r="AT30">
        <f t="shared" si="28"/>
        <v>5.4045192312931123</v>
      </c>
      <c r="AU30" s="24">
        <f t="shared" si="29"/>
        <v>2.5185705799999991</v>
      </c>
      <c r="AV30" s="23">
        <f t="shared" si="30"/>
        <v>-7.6969764555339522</v>
      </c>
      <c r="AW30">
        <f t="shared" si="31"/>
        <v>5.4126297715402165</v>
      </c>
      <c r="AX30" s="24">
        <f t="shared" si="32"/>
        <v>2.5382105699999991</v>
      </c>
      <c r="AY30" s="23">
        <f t="shared" si="33"/>
        <v>-7.7084220106339414</v>
      </c>
      <c r="AZ30">
        <f t="shared" si="34"/>
        <v>5.4205170567799614</v>
      </c>
      <c r="BA30" s="24">
        <f t="shared" si="35"/>
        <v>2.557850559999999</v>
      </c>
      <c r="BB30" s="23">
        <f t="shared" si="36"/>
        <v>-7.7200202546072259</v>
      </c>
      <c r="BC30">
        <f t="shared" si="37"/>
        <v>5.4281780447538575</v>
      </c>
      <c r="BD30" s="24">
        <f t="shared" si="38"/>
        <v>2.5774905499999989</v>
      </c>
      <c r="BE30" s="23">
        <f t="shared" si="39"/>
        <v>-7.7317667138161559</v>
      </c>
      <c r="BF30">
        <f t="shared" si="40"/>
        <v>5.4356097804900729</v>
      </c>
      <c r="BG30" s="24">
        <f t="shared" si="41"/>
        <v>2.5971305399999989</v>
      </c>
      <c r="BH30" s="23">
        <f t="shared" si="42"/>
        <v>-7.743656857453975</v>
      </c>
      <c r="BI30">
        <f t="shared" si="43"/>
        <v>5.4428093974432192</v>
      </c>
      <c r="BJ30" s="24">
        <f t="shared" si="44"/>
        <v>2.6167705299999988</v>
      </c>
      <c r="BK30" s="23">
        <f t="shared" si="45"/>
        <v>-7.7556860992924275</v>
      </c>
      <c r="BL30">
        <f t="shared" si="46"/>
        <v>5.4497741186000228</v>
      </c>
      <c r="BM30" s="24">
        <f t="shared" si="47"/>
        <v>2.6364105199999988</v>
      </c>
      <c r="BN30" s="23">
        <f t="shared" si="48"/>
        <v>-7.7678497994507438</v>
      </c>
      <c r="BO30">
        <f t="shared" si="49"/>
        <v>5.4565012575504674</v>
      </c>
      <c r="BP30" s="24">
        <f t="shared" si="50"/>
        <v>2.6560505099999987</v>
      </c>
      <c r="BQ30" s="23">
        <f t="shared" si="51"/>
        <v>-7.7801432661853189</v>
      </c>
      <c r="BR30">
        <f t="shared" si="52"/>
        <v>5.4629882195239867</v>
      </c>
      <c r="BS30" s="24">
        <f t="shared" si="53"/>
        <v>2.6756904999999986</v>
      </c>
      <c r="BT30" s="23">
        <f t="shared" si="54"/>
        <v>-7.7925617576994002</v>
      </c>
      <c r="BU30">
        <f t="shared" si="55"/>
        <v>5.4692325023903123</v>
      </c>
      <c r="BV30" s="24">
        <f t="shared" si="56"/>
        <v>2.6953304899999986</v>
      </c>
      <c r="BW30" s="23">
        <f t="shared" si="57"/>
        <v>-7.8051004839720752</v>
      </c>
      <c r="BX30">
        <f t="shared" si="58"/>
        <v>5.4752316976245856</v>
      </c>
      <c r="BY30" s="24">
        <f t="shared" si="59"/>
        <v>2.7149704799999985</v>
      </c>
      <c r="BZ30" s="23">
        <f t="shared" si="60"/>
        <v>-7.8177546086058642</v>
      </c>
      <c r="CA30">
        <f t="shared" si="61"/>
        <v>5.4809834912363682</v>
      </c>
      <c r="CB30" s="24">
        <f t="shared" si="62"/>
        <v>2.7346104699999985</v>
      </c>
      <c r="CC30" s="23">
        <f t="shared" si="63"/>
        <v>-7.8305192506921992</v>
      </c>
      <c r="CD30">
        <f t="shared" si="64"/>
        <v>5.4864856646621849</v>
      </c>
      <c r="CE30" s="24">
        <f t="shared" si="65"/>
        <v>2.7542504599999984</v>
      </c>
      <c r="CF30" s="23">
        <f t="shared" si="66"/>
        <v>-7.8433894866940745</v>
      </c>
      <c r="CG30">
        <f t="shared" si="67"/>
        <v>5.4917360956212624</v>
      </c>
      <c r="CH30" s="24">
        <f t="shared" si="68"/>
        <v>2.7738904499999983</v>
      </c>
      <c r="CI30" s="23">
        <f t="shared" si="69"/>
        <v>-7.8563603523451349</v>
      </c>
      <c r="CJ30">
        <f t="shared" si="70"/>
        <v>5.4967327589341286</v>
      </c>
      <c r="CK30" s="24">
        <f t="shared" si="71"/>
        <v>2.7935304399999983</v>
      </c>
      <c r="CL30" s="23">
        <f t="shared" si="72"/>
        <v>-7.8694268445644786</v>
      </c>
      <c r="CM30">
        <f t="shared" si="73"/>
        <v>5.5014737273037575</v>
      </c>
      <c r="CN30" s="24">
        <f t="shared" si="74"/>
        <v>2.8131704299999982</v>
      </c>
      <c r="CO30" s="23">
        <f t="shared" si="75"/>
        <v>-7.8825839233864299</v>
      </c>
      <c r="CP30">
        <f t="shared" si="76"/>
        <v>5.5059571720589604</v>
      </c>
      <c r="CQ30" s="24">
        <f t="shared" si="77"/>
        <v>2.8328104199999982</v>
      </c>
      <c r="CR30" s="23">
        <f t="shared" si="78"/>
        <v>-7.8958265139045372</v>
      </c>
      <c r="CS30">
        <f t="shared" si="79"/>
        <v>5.5101813638597354</v>
      </c>
      <c r="CT30" s="24">
        <f t="shared" si="80"/>
        <v>2.8524504099999981</v>
      </c>
      <c r="CU30" s="23">
        <f t="shared" si="81"/>
        <v>-7.9091495082290502</v>
      </c>
      <c r="CV30">
        <f t="shared" si="82"/>
        <v>5.5141446733643038</v>
      </c>
      <c r="CW30" s="24">
        <f t="shared" si="83"/>
        <v>2.872090399999998</v>
      </c>
      <c r="CY30" s="8">
        <f t="shared" si="129"/>
        <v>1.3613609146893346</v>
      </c>
      <c r="CZ30" s="8">
        <f t="shared" si="92"/>
        <v>1.3675971652666661</v>
      </c>
      <c r="DA30" s="8">
        <f t="shared" si="93"/>
        <v>1.3737022305785092</v>
      </c>
      <c r="DB30" s="8">
        <f t="shared" si="94"/>
        <v>1.3796755126886544</v>
      </c>
      <c r="DC30" s="8">
        <f t="shared" si="95"/>
        <v>1.3855164267250666</v>
      </c>
      <c r="DD30" s="8">
        <f t="shared" si="96"/>
        <v>1.3912244009236148</v>
      </c>
      <c r="DE30" s="8">
        <f t="shared" si="97"/>
        <v>1.3967988766711892</v>
      </c>
      <c r="DF30" s="8">
        <f t="shared" si="98"/>
        <v>1.4022393085481755</v>
      </c>
      <c r="DG30" s="8">
        <f t="shared" si="99"/>
        <v>1.4075451643702441</v>
      </c>
      <c r="DH30" s="8">
        <f t="shared" si="100"/>
        <v>1.4127159252294206</v>
      </c>
      <c r="DI30" s="8">
        <f t="shared" si="101"/>
        <v>1.4177510855344024</v>
      </c>
      <c r="DJ30" s="8">
        <f t="shared" si="102"/>
        <v>1.4226501530500935</v>
      </c>
      <c r="DK30" s="8">
        <f t="shared" si="103"/>
        <v>1.4274126489363264</v>
      </c>
      <c r="DL30" s="8">
        <f t="shared" si="104"/>
        <v>1.4320381077857447</v>
      </c>
      <c r="DM30" s="8">
        <f t="shared" si="105"/>
        <v>1.4365260776608182</v>
      </c>
      <c r="DN30" s="8">
        <f t="shared" si="106"/>
        <v>1.4408761201299662</v>
      </c>
      <c r="DO30">
        <f t="shared" si="107"/>
        <v>1.4450878103027747</v>
      </c>
      <c r="DP30" s="8">
        <f t="shared" si="108"/>
        <v>1.4491607368642683</v>
      </c>
      <c r="DQ30">
        <f t="shared" si="109"/>
        <v>1.4530945021082342</v>
      </c>
      <c r="DR30" s="8">
        <f t="shared" si="110"/>
        <v>1.4568887219695701</v>
      </c>
      <c r="DS30">
        <f t="shared" si="111"/>
        <v>1.460543026055638</v>
      </c>
      <c r="DT30" s="8">
        <f t="shared" si="112"/>
        <v>1.4640570576766077</v>
      </c>
      <c r="DU30">
        <f t="shared" si="113"/>
        <v>1.4674304738747783</v>
      </c>
      <c r="DV30" s="8">
        <f t="shared" si="114"/>
        <v>1.4706629454528539</v>
      </c>
      <c r="DW30">
        <f t="shared" si="115"/>
        <v>1.4737541570011685</v>
      </c>
      <c r="DX30" s="8">
        <f t="shared" si="116"/>
        <v>1.4767038069238405</v>
      </c>
      <c r="DY30">
        <f t="shared" si="117"/>
        <v>1.4795116074638466</v>
      </c>
      <c r="DZ30" s="8">
        <f t="shared" si="118"/>
        <v>1.4821772847270032</v>
      </c>
      <c r="EA30">
        <f t="shared" si="119"/>
        <v>1.4847005787048448</v>
      </c>
      <c r="EB30" s="8">
        <f t="shared" si="120"/>
        <v>1.48708124329639</v>
      </c>
      <c r="EC30">
        <f t="shared" si="121"/>
        <v>1.3613609146893346</v>
      </c>
      <c r="ED30" s="8">
        <f t="shared" si="122"/>
        <v>1.48708124329639</v>
      </c>
      <c r="EF30" s="23">
        <f t="shared" si="123"/>
        <v>0.33676780081476565</v>
      </c>
      <c r="EG30" s="8">
        <f t="shared" si="84"/>
        <v>2.4504496464408025</v>
      </c>
      <c r="EH30">
        <f t="shared" si="124"/>
        <v>1.1415</v>
      </c>
      <c r="EI30" s="8">
        <f t="shared" si="125"/>
        <v>3.9287174472555684</v>
      </c>
    </row>
    <row r="31" spans="2:143" x14ac:dyDescent="0.3">
      <c r="G31" s="10"/>
      <c r="H31" s="10"/>
      <c r="I31" s="6">
        <v>13</v>
      </c>
      <c r="J31" s="6">
        <f t="shared" si="85"/>
        <v>0.189</v>
      </c>
      <c r="K31" s="6">
        <f t="shared" si="128"/>
        <v>-0.37955900000000004</v>
      </c>
      <c r="L31" s="23">
        <f>$G$3+$J31*COS($G$5)*0.1</f>
        <v>-7.576349649964687</v>
      </c>
      <c r="M31">
        <f t="shared" si="87"/>
        <v>5.305307206077698</v>
      </c>
      <c r="N31" s="24">
        <f t="shared" si="88"/>
        <v>2.2449347999999998</v>
      </c>
      <c r="O31" s="23">
        <f t="shared" si="89"/>
        <v>-7.5881474927301529</v>
      </c>
      <c r="P31">
        <f t="shared" si="90"/>
        <v>5.3200727370902063</v>
      </c>
      <c r="Q31" s="24">
        <f t="shared" si="91"/>
        <v>2.2069788999999997</v>
      </c>
      <c r="R31" s="23">
        <f t="shared" si="0"/>
        <v>-7.5993765337705605</v>
      </c>
      <c r="S31">
        <f t="shared" si="1"/>
        <v>5.335275323623847</v>
      </c>
      <c r="T31" s="24">
        <f t="shared" si="2"/>
        <v>2.1690229999999997</v>
      </c>
      <c r="U31" s="23">
        <f t="shared" si="3"/>
        <v>-7.610020597906102</v>
      </c>
      <c r="V31">
        <f t="shared" si="4"/>
        <v>5.3508930666963428</v>
      </c>
      <c r="W31" s="24">
        <f t="shared" si="5"/>
        <v>2.1310670999999997</v>
      </c>
      <c r="X31" s="23">
        <f t="shared" si="6"/>
        <v>-7.6200643526029772</v>
      </c>
      <c r="Y31">
        <f t="shared" si="7"/>
        <v>5.3669034693018052</v>
      </c>
      <c r="Z31" s="24">
        <f t="shared" si="8"/>
        <v>2.0931111999999996</v>
      </c>
      <c r="AA31" s="23">
        <f t="shared" si="9"/>
        <v>-7.6294933300595638</v>
      </c>
      <c r="AB31">
        <f t="shared" si="10"/>
        <v>5.3832834688171642</v>
      </c>
      <c r="AC31" s="24">
        <f t="shared" si="11"/>
        <v>2.0551552999999996</v>
      </c>
      <c r="AD31" s="23">
        <f t="shared" si="12"/>
        <v>-7.6382939480469592</v>
      </c>
      <c r="AE31">
        <f t="shared" si="13"/>
        <v>5.4000094702233561</v>
      </c>
      <c r="AF31" s="24">
        <f t="shared" si="14"/>
        <v>2.0171993999999995</v>
      </c>
      <c r="AG31" s="23">
        <f t="shared" si="15"/>
        <v>-7.6464535294738738</v>
      </c>
      <c r="AH31">
        <f t="shared" si="16"/>
        <v>5.4170573800934125</v>
      </c>
      <c r="AI31" s="24">
        <f t="shared" si="17"/>
        <v>1.9792434999999995</v>
      </c>
      <c r="AJ31" s="23">
        <f t="shared" si="18"/>
        <v>-7.6539603206476921</v>
      </c>
      <c r="AK31">
        <f t="shared" si="19"/>
        <v>5.4344026412984991</v>
      </c>
      <c r="AL31" s="24">
        <f t="shared" si="20"/>
        <v>1.9412875999999994</v>
      </c>
      <c r="AM31" s="23">
        <f t="shared" si="21"/>
        <v>-7.6608035082054045</v>
      </c>
      <c r="AN31">
        <f t="shared" si="22"/>
        <v>5.4520202683819052</v>
      </c>
      <c r="AO31" s="24">
        <f t="shared" si="23"/>
        <v>1.9033316999999994</v>
      </c>
      <c r="AP31" s="23">
        <f t="shared" si="24"/>
        <v>-7.666973234690011</v>
      </c>
      <c r="AQ31">
        <f t="shared" si="25"/>
        <v>5.4698848835500282</v>
      </c>
      <c r="AR31" s="24">
        <f t="shared" si="26"/>
        <v>1.8653757999999994</v>
      </c>
      <c r="AS31" s="23">
        <f t="shared" si="27"/>
        <v>-7.6724606127499646</v>
      </c>
      <c r="AT31">
        <f t="shared" si="28"/>
        <v>5.4879707532285131</v>
      </c>
      <c r="AU31" s="24">
        <f t="shared" si="29"/>
        <v>1.8274198999999993</v>
      </c>
      <c r="AV31" s="23">
        <f t="shared" si="30"/>
        <v>-7.6772577379412015</v>
      </c>
      <c r="AW31">
        <f t="shared" si="31"/>
        <v>5.5062518251308825</v>
      </c>
      <c r="AX31" s="24">
        <f t="shared" si="32"/>
        <v>1.7894639999999993</v>
      </c>
      <c r="AY31" s="23">
        <f t="shared" si="33"/>
        <v>-7.6813577001133124</v>
      </c>
      <c r="AZ31">
        <f t="shared" si="34"/>
        <v>5.5247017657862685</v>
      </c>
      <c r="BA31" s="24">
        <f t="shared" si="35"/>
        <v>1.7515080999999992</v>
      </c>
      <c r="BB31" s="23">
        <f t="shared" si="36"/>
        <v>-7.6847545933634605</v>
      </c>
      <c r="BC31">
        <f t="shared" si="37"/>
        <v>5.5432939984721807</v>
      </c>
      <c r="BD31" s="24">
        <f t="shared" si="38"/>
        <v>1.7135521999999992</v>
      </c>
      <c r="BE31" s="23">
        <f t="shared" si="39"/>
        <v>-7.6874435245436992</v>
      </c>
      <c r="BF31">
        <f t="shared" si="40"/>
        <v>5.5620017414976752</v>
      </c>
      <c r="BG31" s="24">
        <f t="shared" si="41"/>
        <v>1.6755962999999992</v>
      </c>
      <c r="BH31" s="23">
        <f t="shared" si="42"/>
        <v>-7.6894206203094404</v>
      </c>
      <c r="BI31">
        <f t="shared" si="43"/>
        <v>5.5807980467817755</v>
      </c>
      <c r="BJ31" s="24">
        <f t="shared" si="44"/>
        <v>1.6376403999999991</v>
      </c>
      <c r="BK31" s="23">
        <f t="shared" si="45"/>
        <v>-7.6906830326989226</v>
      </c>
      <c r="BL31">
        <f t="shared" si="46"/>
        <v>5.5996558386715725</v>
      </c>
      <c r="BM31" s="24">
        <f t="shared" si="47"/>
        <v>1.5996844999999991</v>
      </c>
      <c r="BN31" s="23">
        <f t="shared" si="48"/>
        <v>-7.6912289432356333</v>
      </c>
      <c r="BO31">
        <f t="shared" si="49"/>
        <v>5.6185479529440912</v>
      </c>
      <c r="BP31" s="24">
        <f t="shared" si="50"/>
        <v>1.561728599999999</v>
      </c>
      <c r="BQ31" s="23">
        <f t="shared" si="51"/>
        <v>-7.6910575655477826</v>
      </c>
      <c r="BR31">
        <f t="shared" si="52"/>
        <v>5.6374471759357414</v>
      </c>
      <c r="BS31" s="24">
        <f t="shared" si="53"/>
        <v>1.523772699999999</v>
      </c>
      <c r="BT31" s="23">
        <f t="shared" si="54"/>
        <v>-7.6901691465010567</v>
      </c>
      <c r="BU31">
        <f t="shared" si="55"/>
        <v>5.656326283742982</v>
      </c>
      <c r="BV31" s="24">
        <f t="shared" si="56"/>
        <v>1.4858167999999989</v>
      </c>
      <c r="BW31" s="23">
        <f t="shared" si="57"/>
        <v>-7.6885649658430113</v>
      </c>
      <c r="BX31">
        <f t="shared" si="58"/>
        <v>5.6751580814377416</v>
      </c>
      <c r="BY31" s="24">
        <f t="shared" si="59"/>
        <v>1.4478608999999989</v>
      </c>
      <c r="BZ31" s="23">
        <f t="shared" si="60"/>
        <v>-7.6862473343596251</v>
      </c>
      <c r="CA31">
        <f t="shared" si="61"/>
        <v>5.6939154422410958</v>
      </c>
      <c r="CB31" s="24">
        <f t="shared" si="62"/>
        <v>1.4099049999999989</v>
      </c>
      <c r="CC31" s="23">
        <f t="shared" si="63"/>
        <v>-7.6832195905466651</v>
      </c>
      <c r="CD31">
        <f t="shared" si="64"/>
        <v>5.7125713465987804</v>
      </c>
      <c r="CE31" s="24">
        <f t="shared" si="65"/>
        <v>1.3719490999999988</v>
      </c>
      <c r="CF31" s="23">
        <f t="shared" si="66"/>
        <v>-7.679486095800657</v>
      </c>
      <c r="CG31">
        <f t="shared" si="67"/>
        <v>5.7310989211022481</v>
      </c>
      <c r="CH31" s="24">
        <f t="shared" si="68"/>
        <v>1.3339931999999988</v>
      </c>
      <c r="CI31" s="23">
        <f t="shared" si="69"/>
        <v>-7.6750522281363942</v>
      </c>
      <c r="CJ31">
        <f t="shared" si="70"/>
        <v>5.7494714771992044</v>
      </c>
      <c r="CK31" s="24">
        <f t="shared" si="71"/>
        <v>1.2960372999999987</v>
      </c>
      <c r="CL31" s="23">
        <f t="shared" si="72"/>
        <v>-7.6699243744400283</v>
      </c>
      <c r="CM31">
        <f t="shared" si="73"/>
        <v>5.7676625496378673</v>
      </c>
      <c r="CN31" s="24">
        <f t="shared" si="74"/>
        <v>1.2580813999999987</v>
      </c>
      <c r="CO31" s="23">
        <f t="shared" si="75"/>
        <v>-7.6641099212689046</v>
      </c>
      <c r="CP31">
        <f t="shared" si="76"/>
        <v>5.785645934589561</v>
      </c>
      <c r="CQ31" s="24">
        <f t="shared" si="77"/>
        <v>1.2201254999999986</v>
      </c>
      <c r="CR31" s="23">
        <f t="shared" si="78"/>
        <v>-7.6576172442113917</v>
      </c>
      <c r="CS31">
        <f t="shared" si="79"/>
        <v>5.8033957273947419</v>
      </c>
      <c r="CT31" s="24">
        <f t="shared" si="80"/>
        <v>1.1821695999999986</v>
      </c>
      <c r="CU31" s="23">
        <f t="shared" si="81"/>
        <v>-7.6504556958220373</v>
      </c>
      <c r="CV31">
        <f t="shared" si="82"/>
        <v>5.820886359878072</v>
      </c>
      <c r="CW31" s="24">
        <f t="shared" si="83"/>
        <v>1.1442136999999986</v>
      </c>
      <c r="CY31" s="8">
        <f t="shared" si="129"/>
        <v>1.3636785191476435</v>
      </c>
      <c r="CZ31" s="8">
        <f t="shared" si="92"/>
        <v>1.3731926775853389</v>
      </c>
      <c r="DA31" s="8">
        <f t="shared" si="93"/>
        <v>1.3835058920507646</v>
      </c>
      <c r="DB31" s="8">
        <f t="shared" si="94"/>
        <v>1.3945857524360941</v>
      </c>
      <c r="DC31" s="8">
        <f t="shared" si="95"/>
        <v>1.406398376458714</v>
      </c>
      <c r="DD31" s="8">
        <f t="shared" si="96"/>
        <v>1.4189086684939154</v>
      </c>
      <c r="DE31" s="8">
        <f t="shared" si="97"/>
        <v>1.4320805687142744</v>
      </c>
      <c r="DF31" s="8">
        <f t="shared" si="98"/>
        <v>1.4458772895448688</v>
      </c>
      <c r="DG31" s="8">
        <f t="shared" si="99"/>
        <v>1.4602615371160357</v>
      </c>
      <c r="DH31" s="8">
        <f t="shared" si="100"/>
        <v>1.475195716044434</v>
      </c>
      <c r="DI31" s="8">
        <f t="shared" si="101"/>
        <v>1.4906421164760226</v>
      </c>
      <c r="DJ31" s="8">
        <f t="shared" si="102"/>
        <v>1.5065630828650913</v>
      </c>
      <c r="DK31" s="8">
        <f t="shared" si="103"/>
        <v>1.5229211644317366</v>
      </c>
      <c r="DL31" s="8">
        <f t="shared" si="104"/>
        <v>1.5396792476317287</v>
      </c>
      <c r="DM31" s="8">
        <f t="shared" si="105"/>
        <v>1.5568006712875677</v>
      </c>
      <c r="DN31" s="8">
        <f t="shared" si="106"/>
        <v>1.5742493252712813</v>
      </c>
      <c r="DO31">
        <f t="shared" si="107"/>
        <v>1.59198973380416</v>
      </c>
      <c r="DP31" s="8">
        <f t="shared" si="108"/>
        <v>1.6099871245537818</v>
      </c>
      <c r="DQ31">
        <f t="shared" si="109"/>
        <v>1.6282074847727621</v>
      </c>
      <c r="DR31" s="8">
        <f t="shared" si="110"/>
        <v>1.6466176057452291</v>
      </c>
      <c r="DS31">
        <f t="shared" si="111"/>
        <v>1.6651851167943719</v>
      </c>
      <c r="DT31" s="8">
        <f t="shared" si="112"/>
        <v>1.6838785100652423</v>
      </c>
      <c r="DU31">
        <f t="shared" si="113"/>
        <v>1.7026671572381107</v>
      </c>
      <c r="DV31" s="8">
        <f t="shared" si="114"/>
        <v>1.7215213192551144</v>
      </c>
      <c r="DW31">
        <f t="shared" si="115"/>
        <v>1.7404121500616359</v>
      </c>
      <c r="DX31" s="8">
        <f t="shared" si="116"/>
        <v>1.7593116952779633</v>
      </c>
      <c r="DY31">
        <f t="shared" si="117"/>
        <v>1.7781928866295784</v>
      </c>
      <c r="DZ31" s="8">
        <f t="shared" si="118"/>
        <v>1.7970295328783639</v>
      </c>
      <c r="EA31">
        <f t="shared" si="119"/>
        <v>1.815796307914094</v>
      </c>
      <c r="EB31" s="8">
        <f t="shared" si="120"/>
        <v>1.8344687365869603</v>
      </c>
      <c r="EC31">
        <f t="shared" si="121"/>
        <v>1.3636785191476435</v>
      </c>
      <c r="ED31" s="8">
        <f t="shared" si="122"/>
        <v>1.8344687365869603</v>
      </c>
      <c r="EF31" s="23">
        <f t="shared" si="123"/>
        <v>1.4026815556963008</v>
      </c>
      <c r="EG31" s="8">
        <f t="shared" si="84"/>
        <v>2.4546213344657581</v>
      </c>
      <c r="EH31">
        <f t="shared" si="124"/>
        <v>1.0665</v>
      </c>
      <c r="EI31" s="8">
        <f t="shared" si="125"/>
        <v>4.923802890162059</v>
      </c>
    </row>
    <row r="32" spans="2:143" x14ac:dyDescent="0.3">
      <c r="G32" s="10"/>
      <c r="H32" s="10"/>
      <c r="I32" s="6">
        <v>14</v>
      </c>
      <c r="J32" s="6">
        <f t="shared" si="85"/>
        <v>0.189</v>
      </c>
      <c r="K32" s="6">
        <f t="shared" si="128"/>
        <v>-0.32719910000000002</v>
      </c>
      <c r="L32" s="23">
        <f t="shared" ref="L32:L66" si="130">$G$3+$J32*COS($G$5)*0.1</f>
        <v>-7.576349649964687</v>
      </c>
      <c r="M32">
        <f t="shared" si="87"/>
        <v>5.305307206077698</v>
      </c>
      <c r="N32" s="24">
        <f t="shared" si="88"/>
        <v>2.2501707899999999</v>
      </c>
      <c r="O32" s="23">
        <f t="shared" si="89"/>
        <v>-7.5882246428275719</v>
      </c>
      <c r="P32">
        <f t="shared" si="90"/>
        <v>5.3200107615833039</v>
      </c>
      <c r="Q32" s="24">
        <f t="shared" si="91"/>
        <v>2.2174508799999999</v>
      </c>
      <c r="R32" s="23">
        <f t="shared" si="0"/>
        <v>-7.5996122664444217</v>
      </c>
      <c r="S32">
        <f t="shared" si="1"/>
        <v>5.3350949264047633</v>
      </c>
      <c r="T32" s="24">
        <f t="shared" si="2"/>
        <v>2.1847309699999999</v>
      </c>
      <c r="U32" s="23">
        <f t="shared" si="3"/>
        <v>-7.6105003303983203</v>
      </c>
      <c r="V32">
        <f t="shared" si="4"/>
        <v>5.3505435529888912</v>
      </c>
      <c r="W32" s="24">
        <f t="shared" si="5"/>
        <v>2.15201106</v>
      </c>
      <c r="X32" s="23">
        <f t="shared" si="6"/>
        <v>-7.6208771790494714</v>
      </c>
      <c r="Y32">
        <f t="shared" si="7"/>
        <v>5.3663401036272775</v>
      </c>
      <c r="Z32" s="24">
        <f t="shared" si="8"/>
        <v>2.11929115</v>
      </c>
      <c r="AA32" s="23">
        <f t="shared" si="9"/>
        <v>-7.6307317040125273</v>
      </c>
      <c r="AB32">
        <f t="shared" si="10"/>
        <v>5.3824676681598573</v>
      </c>
      <c r="AC32" s="24">
        <f t="shared" si="11"/>
        <v>2.08657124</v>
      </c>
      <c r="AD32" s="23">
        <f t="shared" si="12"/>
        <v>-7.6400533560480799</v>
      </c>
      <c r="AE32">
        <f t="shared" si="13"/>
        <v>5.3989089820771836</v>
      </c>
      <c r="AF32" s="24">
        <f t="shared" si="14"/>
        <v>2.0538513300000001</v>
      </c>
      <c r="AG32" s="23">
        <f t="shared" si="15"/>
        <v>-7.6488321563555921</v>
      </c>
      <c r="AH32">
        <f t="shared" si="16"/>
        <v>5.4156464450020367</v>
      </c>
      <c r="AI32" s="24">
        <f t="shared" si="17"/>
        <v>2.0211314200000001</v>
      </c>
      <c r="AJ32" s="23">
        <f t="shared" si="18"/>
        <v>-7.6570587072556737</v>
      </c>
      <c r="AK32">
        <f t="shared" si="19"/>
        <v>5.4326621395305708</v>
      </c>
      <c r="AL32" s="24">
        <f t="shared" si="20"/>
        <v>1.9884115100000002</v>
      </c>
      <c r="AM32" s="23">
        <f t="shared" si="21"/>
        <v>-7.6647242022502668</v>
      </c>
      <c r="AN32">
        <f t="shared" si="22"/>
        <v>5.4499378504128435</v>
      </c>
      <c r="AO32" s="24">
        <f t="shared" si="23"/>
        <v>1.9556916000000002</v>
      </c>
      <c r="AP32" s="23">
        <f t="shared" si="24"/>
        <v>-7.6718204354499786</v>
      </c>
      <c r="AQ32">
        <f t="shared" si="25"/>
        <v>5.4674550840521858</v>
      </c>
      <c r="AR32" s="24">
        <f t="shared" si="26"/>
        <v>1.9229716900000002</v>
      </c>
      <c r="AS32" s="23">
        <f t="shared" si="27"/>
        <v>-7.6783398103584579</v>
      </c>
      <c r="AT32">
        <f t="shared" si="28"/>
        <v>5.4851950883025431</v>
      </c>
      <c r="AU32" s="24">
        <f t="shared" si="29"/>
        <v>1.8902517800000003</v>
      </c>
      <c r="AV32" s="23">
        <f t="shared" si="30"/>
        <v>-7.6842753480044257</v>
      </c>
      <c r="AW32">
        <f t="shared" si="31"/>
        <v>5.5031388725425883</v>
      </c>
      <c r="AX32" s="24">
        <f t="shared" si="32"/>
        <v>1.8575318700000003</v>
      </c>
      <c r="AY32" s="23">
        <f t="shared" si="33"/>
        <v>-7.6896206944126391</v>
      </c>
      <c r="AZ32">
        <f t="shared" si="34"/>
        <v>5.5212672280051285</v>
      </c>
      <c r="BA32" s="24">
        <f t="shared" si="35"/>
        <v>1.8248119600000003</v>
      </c>
      <c r="BB32" s="23">
        <f t="shared" si="36"/>
        <v>-7.6943701274058052</v>
      </c>
      <c r="BC32">
        <f t="shared" si="37"/>
        <v>5.5395607483400289</v>
      </c>
      <c r="BD32" s="24">
        <f t="shared" si="38"/>
        <v>1.7920920500000004</v>
      </c>
      <c r="BE32" s="23">
        <f t="shared" si="39"/>
        <v>-7.6985185627301549</v>
      </c>
      <c r="BF32">
        <f t="shared" si="40"/>
        <v>5.5579998503886561</v>
      </c>
      <c r="BG32" s="24">
        <f t="shared" si="41"/>
        <v>1.7593721400000004</v>
      </c>
      <c r="BH32" s="23">
        <f t="shared" si="42"/>
        <v>-7.7020615594981185</v>
      </c>
      <c r="BI32">
        <f t="shared" si="43"/>
        <v>5.5765647951475881</v>
      </c>
      <c r="BJ32" s="24">
        <f t="shared" si="44"/>
        <v>1.7266522300000005</v>
      </c>
      <c r="BK32" s="23">
        <f t="shared" si="45"/>
        <v>-7.7049953249422867</v>
      </c>
      <c r="BL32">
        <f t="shared" si="46"/>
        <v>5.5952357088991587</v>
      </c>
      <c r="BM32" s="24">
        <f t="shared" si="47"/>
        <v>1.6939323200000005</v>
      </c>
      <c r="BN32" s="23">
        <f t="shared" si="48"/>
        <v>-7.7073167184755533</v>
      </c>
      <c r="BO32">
        <f t="shared" si="49"/>
        <v>5.6139926044862145</v>
      </c>
      <c r="BP32" s="24">
        <f t="shared" si="50"/>
        <v>1.6612124100000005</v>
      </c>
      <c r="BQ32" s="23">
        <f t="shared" si="51"/>
        <v>-7.709023255053105</v>
      </c>
      <c r="BR32">
        <f t="shared" si="52"/>
        <v>5.6328154027083039</v>
      </c>
      <c r="BS32" s="24">
        <f t="shared" si="53"/>
        <v>1.6284925000000006</v>
      </c>
      <c r="BT32" s="23">
        <f t="shared" si="54"/>
        <v>-7.7101131078326564</v>
      </c>
      <c r="BU32">
        <f t="shared" si="55"/>
        <v>5.6516839538164021</v>
      </c>
      <c r="BV32" s="24">
        <f t="shared" si="56"/>
        <v>1.5957725900000006</v>
      </c>
      <c r="BW32" s="23">
        <f t="shared" si="57"/>
        <v>-7.7105851101300757</v>
      </c>
      <c r="BX32">
        <f t="shared" si="58"/>
        <v>5.6705780590831578</v>
      </c>
      <c r="BY32" s="24">
        <f t="shared" si="59"/>
        <v>1.5630526800000006</v>
      </c>
      <c r="BZ32" s="23">
        <f t="shared" si="60"/>
        <v>-7.7104387566683208</v>
      </c>
      <c r="CA32">
        <f t="shared" si="61"/>
        <v>5.6894774924255689</v>
      </c>
      <c r="CB32" s="24">
        <f t="shared" si="62"/>
        <v>1.5303327700000007</v>
      </c>
      <c r="CC32" s="23">
        <f t="shared" si="63"/>
        <v>-7.7096742041183326</v>
      </c>
      <c r="CD32">
        <f t="shared" si="64"/>
        <v>5.7083620220569449</v>
      </c>
      <c r="CE32" s="24">
        <f t="shared" si="65"/>
        <v>1.4976128600000007</v>
      </c>
      <c r="CF32" s="23">
        <f t="shared" si="66"/>
        <v>-7.708292270931322</v>
      </c>
      <c r="CG32">
        <f t="shared" si="67"/>
        <v>5.7272114321449727</v>
      </c>
      <c r="CH32" s="24">
        <f t="shared" si="68"/>
        <v>1.4648929500000007</v>
      </c>
      <c r="CI32" s="23">
        <f t="shared" si="69"/>
        <v>-7.7062944364626196</v>
      </c>
      <c r="CJ32">
        <f t="shared" si="70"/>
        <v>5.7460055444527054</v>
      </c>
      <c r="CK32" s="24">
        <f t="shared" si="71"/>
        <v>1.4321730400000008</v>
      </c>
      <c r="CL32" s="23">
        <f t="shared" si="72"/>
        <v>-7.7036828393880308</v>
      </c>
      <c r="CM32">
        <f t="shared" si="73"/>
        <v>5.7647242399393042</v>
      </c>
      <c r="CN32" s="24">
        <f t="shared" si="74"/>
        <v>1.3994531300000008</v>
      </c>
      <c r="CO32" s="23">
        <f t="shared" si="75"/>
        <v>-7.7004602754143887</v>
      </c>
      <c r="CP32">
        <f t="shared" si="76"/>
        <v>5.7833474802974099</v>
      </c>
      <c r="CQ32" s="24">
        <f t="shared" si="77"/>
        <v>1.3667332200000009</v>
      </c>
      <c r="CR32" s="23">
        <f t="shared" si="78"/>
        <v>-7.6966301942867581</v>
      </c>
      <c r="CS32">
        <f t="shared" si="79"/>
        <v>5.8018553294040931</v>
      </c>
      <c r="CT32" s="24">
        <f t="shared" si="80"/>
        <v>1.3340133100000009</v>
      </c>
      <c r="CU32" s="23">
        <f t="shared" si="81"/>
        <v>-7.6921966960954951</v>
      </c>
      <c r="CV32">
        <f t="shared" si="82"/>
        <v>5.820227974662413</v>
      </c>
      <c r="CW32" s="24">
        <f t="shared" si="83"/>
        <v>1.3012934000000009</v>
      </c>
      <c r="CY32" s="8">
        <f t="shared" si="129"/>
        <v>1.3636785191476435</v>
      </c>
      <c r="CZ32" s="8">
        <f t="shared" si="92"/>
        <v>1.3731073381639067</v>
      </c>
      <c r="DA32" s="8">
        <f t="shared" si="93"/>
        <v>1.3832553398396983</v>
      </c>
      <c r="DB32" s="8">
        <f t="shared" si="94"/>
        <v>1.3940960796609621</v>
      </c>
      <c r="DC32" s="8">
        <f t="shared" si="95"/>
        <v>1.4056020643861049</v>
      </c>
      <c r="DD32" s="8">
        <f t="shared" si="96"/>
        <v>1.4177449358796268</v>
      </c>
      <c r="DE32" s="8">
        <f t="shared" si="97"/>
        <v>1.4304956477798525</v>
      </c>
      <c r="DF32" s="8">
        <f t="shared" si="98"/>
        <v>1.4438246331807232</v>
      </c>
      <c r="DG32" s="8">
        <f t="shared" si="99"/>
        <v>1.4577019619117124</v>
      </c>
      <c r="DH32" s="8">
        <f t="shared" si="100"/>
        <v>1.4720974863885661</v>
      </c>
      <c r="DI32" s="8">
        <f t="shared" si="101"/>
        <v>1.4869809753689436</v>
      </c>
      <c r="DJ32" s="8">
        <f t="shared" si="102"/>
        <v>1.5023222352728163</v>
      </c>
      <c r="DK32" s="8">
        <f t="shared" si="103"/>
        <v>1.5180912190122773</v>
      </c>
      <c r="DL32" s="8">
        <f t="shared" si="104"/>
        <v>1.5342581225167651</v>
      </c>
      <c r="DM32" s="8">
        <f t="shared" si="105"/>
        <v>1.5507934693373022</v>
      </c>
      <c r="DN32" s="8">
        <f t="shared" si="106"/>
        <v>1.5676681838688991</v>
      </c>
      <c r="DO32">
        <f t="shared" si="107"/>
        <v>1.58485365384664</v>
      </c>
      <c r="DP32" s="8">
        <f t="shared" si="108"/>
        <v>1.6023217828521297</v>
      </c>
      <c r="DQ32">
        <f t="shared" si="109"/>
        <v>1.6200450336172421</v>
      </c>
      <c r="DR32" s="8">
        <f t="shared" si="110"/>
        <v>1.6379964629360975</v>
      </c>
      <c r="DS32">
        <f t="shared" si="111"/>
        <v>1.6561497489984753</v>
      </c>
      <c r="DT32" s="8">
        <f t="shared" si="112"/>
        <v>1.6744792119426697</v>
      </c>
      <c r="DU32">
        <f t="shared" si="113"/>
        <v>1.6929598283971081</v>
      </c>
      <c r="DV32" s="8">
        <f t="shared" si="114"/>
        <v>1.7115672407413987</v>
      </c>
      <c r="DW32">
        <f t="shared" si="115"/>
        <v>1.7302777617717968</v>
      </c>
      <c r="DX32" s="8">
        <f t="shared" si="116"/>
        <v>1.7490683754060803</v>
      </c>
      <c r="DY32">
        <f t="shared" si="117"/>
        <v>1.7679167340104851</v>
      </c>
      <c r="DZ32" s="8">
        <f t="shared" si="118"/>
        <v>1.7868011528784618</v>
      </c>
      <c r="EA32">
        <f t="shared" si="119"/>
        <v>1.8057006023388633</v>
      </c>
      <c r="EB32" s="8">
        <f t="shared" si="120"/>
        <v>1.8245946979207517</v>
      </c>
      <c r="EC32">
        <f t="shared" si="121"/>
        <v>1.3636785191476435</v>
      </c>
      <c r="ED32" s="8">
        <f t="shared" si="122"/>
        <v>1.8245946979207517</v>
      </c>
      <c r="EF32" s="23">
        <f t="shared" si="123"/>
        <v>1.2449079154755882</v>
      </c>
      <c r="EG32" s="8">
        <f t="shared" si="84"/>
        <v>2.4546213344657581</v>
      </c>
      <c r="EH32">
        <f t="shared" si="124"/>
        <v>1.0665</v>
      </c>
      <c r="EI32" s="8">
        <f t="shared" si="125"/>
        <v>4.7660292499413464</v>
      </c>
    </row>
    <row r="33" spans="3:139" x14ac:dyDescent="0.3">
      <c r="E33" t="s">
        <v>176</v>
      </c>
      <c r="G33" s="10"/>
      <c r="H33" s="10"/>
      <c r="I33" s="6">
        <v>15</v>
      </c>
      <c r="J33" s="6">
        <f t="shared" si="85"/>
        <v>0.189</v>
      </c>
      <c r="K33" s="6">
        <f t="shared" si="128"/>
        <v>-0.27483920000000001</v>
      </c>
      <c r="L33" s="23">
        <f t="shared" si="130"/>
        <v>-7.576349649964687</v>
      </c>
      <c r="M33">
        <f t="shared" si="87"/>
        <v>5.305307206077698</v>
      </c>
      <c r="N33" s="24">
        <f t="shared" si="88"/>
        <v>2.2554067799999999</v>
      </c>
      <c r="O33" s="23">
        <f t="shared" si="89"/>
        <v>-7.5883014673657829</v>
      </c>
      <c r="P33">
        <f t="shared" si="90"/>
        <v>5.3199483829706544</v>
      </c>
      <c r="Q33" s="24">
        <f t="shared" si="91"/>
        <v>2.2279228600000001</v>
      </c>
      <c r="R33" s="23">
        <f t="shared" si="0"/>
        <v>-7.5998464247767483</v>
      </c>
      <c r="S33">
        <f t="shared" si="1"/>
        <v>5.3349124719298597</v>
      </c>
      <c r="T33" s="24">
        <f t="shared" si="2"/>
        <v>2.2004389400000002</v>
      </c>
      <c r="U33" s="23">
        <f t="shared" si="3"/>
        <v>-7.6109758020798433</v>
      </c>
      <c r="V33">
        <f t="shared" si="4"/>
        <v>5.3501881703049055</v>
      </c>
      <c r="W33" s="24">
        <f t="shared" si="5"/>
        <v>2.1729550200000003</v>
      </c>
      <c r="X33" s="23">
        <f t="shared" si="6"/>
        <v>-7.6216811930525932</v>
      </c>
      <c r="Y33">
        <f t="shared" si="7"/>
        <v>5.3657639400810853</v>
      </c>
      <c r="Z33" s="24">
        <f t="shared" si="8"/>
        <v>2.1454711000000004</v>
      </c>
      <c r="AA33" s="23">
        <f t="shared" si="9"/>
        <v>-7.6319545117171641</v>
      </c>
      <c r="AB33">
        <f t="shared" si="10"/>
        <v>5.38162801659427</v>
      </c>
      <c r="AC33" s="24">
        <f t="shared" si="11"/>
        <v>2.1179871800000005</v>
      </c>
      <c r="AD33" s="23">
        <f t="shared" si="12"/>
        <v>-7.641787998447847</v>
      </c>
      <c r="AE33">
        <f t="shared" si="13"/>
        <v>5.3977684174169722</v>
      </c>
      <c r="AF33" s="24">
        <f t="shared" si="14"/>
        <v>2.0905032600000006</v>
      </c>
      <c r="AG33" s="23">
        <f t="shared" si="15"/>
        <v>-7.6511742258320465</v>
      </c>
      <c r="AH33">
        <f t="shared" si="16"/>
        <v>5.4141729514088937</v>
      </c>
      <c r="AI33" s="24">
        <f t="shared" si="17"/>
        <v>2.0630193400000008</v>
      </c>
      <c r="AJ33" s="23">
        <f t="shared" si="18"/>
        <v>-7.6601061042803424</v>
      </c>
      <c r="AK33">
        <f t="shared" si="19"/>
        <v>5.4308292279251162</v>
      </c>
      <c r="AL33" s="24">
        <f t="shared" si="20"/>
        <v>2.0355354200000009</v>
      </c>
      <c r="AM33" s="23">
        <f t="shared" si="21"/>
        <v>-7.668576887381386</v>
      </c>
      <c r="AN33">
        <f t="shared" si="22"/>
        <v>5.4477246661749836</v>
      </c>
      <c r="AO33" s="24">
        <f t="shared" si="23"/>
        <v>2.008051500000001</v>
      </c>
      <c r="AP33" s="23">
        <f t="shared" si="24"/>
        <v>-7.6765801769975868</v>
      </c>
      <c r="AQ33">
        <f t="shared" si="25"/>
        <v>5.4648465047246022</v>
      </c>
      <c r="AR33" s="24">
        <f t="shared" si="26"/>
        <v>1.9805675800000009</v>
      </c>
      <c r="AS33" s="23">
        <f t="shared" si="27"/>
        <v>-7.6841099280977447</v>
      </c>
      <c r="AT33">
        <f t="shared" si="28"/>
        <v>5.4821818111357876</v>
      </c>
      <c r="AU33" s="24">
        <f t="shared" si="29"/>
        <v>1.9530836600000008</v>
      </c>
      <c r="AV33" s="23">
        <f t="shared" si="30"/>
        <v>-7.6911604533229712</v>
      </c>
      <c r="AW33">
        <f t="shared" si="31"/>
        <v>5.4997174917341685</v>
      </c>
      <c r="AX33" s="24">
        <f t="shared" si="32"/>
        <v>1.9255997400000007</v>
      </c>
      <c r="AY33" s="23">
        <f t="shared" si="33"/>
        <v>-7.6977264272824568</v>
      </c>
      <c r="AZ33">
        <f t="shared" si="34"/>
        <v>5.5174403014990832</v>
      </c>
      <c r="BA33" s="24">
        <f t="shared" si="35"/>
        <v>1.8981158200000006</v>
      </c>
      <c r="BB33" s="23">
        <f t="shared" si="36"/>
        <v>-7.7038028905758376</v>
      </c>
      <c r="BC33">
        <f t="shared" si="37"/>
        <v>5.5353368540677819</v>
      </c>
      <c r="BD33" s="24">
        <f t="shared" si="38"/>
        <v>1.8706319000000005</v>
      </c>
      <c r="BE33" s="23">
        <f t="shared" si="39"/>
        <v>-7.709385253539117</v>
      </c>
      <c r="BF33">
        <f t="shared" si="40"/>
        <v>5.5533936318463946</v>
      </c>
      <c r="BG33" s="24">
        <f t="shared" si="41"/>
        <v>1.8431479800000004</v>
      </c>
      <c r="BH33" s="23">
        <f t="shared" si="42"/>
        <v>-7.7144692997113271</v>
      </c>
      <c r="BI33">
        <f t="shared" si="43"/>
        <v>5.5715969962200163</v>
      </c>
      <c r="BJ33" s="24">
        <f t="shared" si="44"/>
        <v>1.8156640600000002</v>
      </c>
      <c r="BK33" s="23">
        <f t="shared" si="45"/>
        <v>-7.7190511890192965</v>
      </c>
      <c r="BL33">
        <f t="shared" si="46"/>
        <v>5.5899331978542017</v>
      </c>
      <c r="BM33" s="24">
        <f t="shared" si="47"/>
        <v>1.7881801400000001</v>
      </c>
      <c r="BN33" s="23">
        <f t="shared" si="48"/>
        <v>-7.7231274606781293</v>
      </c>
      <c r="BO33">
        <f t="shared" si="49"/>
        <v>5.6083883870800912</v>
      </c>
      <c r="BP33" s="24">
        <f t="shared" si="50"/>
        <v>1.76069622</v>
      </c>
      <c r="BQ33" s="23">
        <f t="shared" si="51"/>
        <v>-7.7266950358051982</v>
      </c>
      <c r="BR33">
        <f t="shared" si="52"/>
        <v>5.6269486243553182</v>
      </c>
      <c r="BS33" s="24">
        <f t="shared" si="53"/>
        <v>1.7332122999999999</v>
      </c>
      <c r="BT33" s="23">
        <f t="shared" si="54"/>
        <v>-7.7297512197456815</v>
      </c>
      <c r="BU33">
        <f t="shared" si="55"/>
        <v>5.6455998907928002</v>
      </c>
      <c r="BV33" s="24">
        <f t="shared" si="56"/>
        <v>1.7057283799999998</v>
      </c>
      <c r="BW33" s="23">
        <f t="shared" si="57"/>
        <v>-7.7322937041078852</v>
      </c>
      <c r="BX33">
        <f t="shared" si="58"/>
        <v>5.6643280987494613</v>
      </c>
      <c r="BY33" s="24">
        <f t="shared" si="59"/>
        <v>1.6782444599999997</v>
      </c>
      <c r="BZ33" s="23">
        <f t="shared" si="60"/>
        <v>-7.7343205685068144</v>
      </c>
      <c r="CA33">
        <f t="shared" si="61"/>
        <v>5.6831191024668879</v>
      </c>
      <c r="CB33" s="24">
        <f t="shared" si="62"/>
        <v>1.6507605399999996</v>
      </c>
      <c r="CC33" s="23">
        <f t="shared" si="63"/>
        <v>-7.735830282014672</v>
      </c>
      <c r="CD33">
        <f t="shared" si="64"/>
        <v>5.7019587087558792</v>
      </c>
      <c r="CE33" s="24">
        <f t="shared" si="65"/>
        <v>1.6232766199999995</v>
      </c>
      <c r="CF33" s="23">
        <f t="shared" si="66"/>
        <v>-7.7368217043172018</v>
      </c>
      <c r="CG33">
        <f t="shared" si="67"/>
        <v>5.7208326877168201</v>
      </c>
      <c r="CH33" s="24">
        <f t="shared" si="68"/>
        <v>1.5957926999999994</v>
      </c>
      <c r="CI33" s="23">
        <f t="shared" si="69"/>
        <v>-7.7372940865749831</v>
      </c>
      <c r="CJ33">
        <f t="shared" si="70"/>
        <v>5.7397267834877885</v>
      </c>
      <c r="CK33" s="24">
        <f t="shared" si="71"/>
        <v>1.5683087799999993</v>
      </c>
      <c r="CL33" s="23">
        <f t="shared" si="72"/>
        <v>-7.7372470719890467</v>
      </c>
      <c r="CM33">
        <f t="shared" si="73"/>
        <v>5.7586267250122667</v>
      </c>
      <c r="CN33" s="24">
        <f t="shared" si="74"/>
        <v>1.5408248599999992</v>
      </c>
      <c r="CO33" s="23">
        <f t="shared" si="75"/>
        <v>-7.73668069607037</v>
      </c>
      <c r="CP33">
        <f t="shared" si="76"/>
        <v>5.7775182368183327</v>
      </c>
      <c r="CQ33" s="24">
        <f t="shared" si="77"/>
        <v>1.5133409399999991</v>
      </c>
      <c r="CR33" s="23">
        <f t="shared" si="78"/>
        <v>-7.7355953866130562</v>
      </c>
      <c r="CS33">
        <f t="shared" si="79"/>
        <v>5.7963870498011856</v>
      </c>
      <c r="CT33" s="24">
        <f t="shared" si="80"/>
        <v>1.485857019999999</v>
      </c>
      <c r="CU33" s="23">
        <f t="shared" si="81"/>
        <v>-7.7339919633712118</v>
      </c>
      <c r="CV33">
        <f t="shared" si="82"/>
        <v>5.8152189120008595</v>
      </c>
      <c r="CW33" s="24">
        <f t="shared" si="83"/>
        <v>1.4583730999999989</v>
      </c>
      <c r="CY33" s="8">
        <f t="shared" si="129"/>
        <v>1.3636785191476435</v>
      </c>
      <c r="CZ33" s="8">
        <f t="shared" si="92"/>
        <v>1.3730217393799322</v>
      </c>
      <c r="DA33" s="8">
        <f t="shared" si="93"/>
        <v>1.3830034164432032</v>
      </c>
      <c r="DB33" s="8">
        <f t="shared" si="94"/>
        <v>1.3936023766539327</v>
      </c>
      <c r="DC33" s="8">
        <f t="shared" si="95"/>
        <v>1.4047967366888336</v>
      </c>
      <c r="DD33" s="8">
        <f t="shared" si="96"/>
        <v>1.416564029673046</v>
      </c>
      <c r="DE33" s="8">
        <f t="shared" si="97"/>
        <v>1.4288813260976163</v>
      </c>
      <c r="DF33" s="8">
        <f t="shared" si="98"/>
        <v>1.4417253485285546</v>
      </c>
      <c r="DG33" s="8">
        <f t="shared" si="99"/>
        <v>1.4550725793004871</v>
      </c>
      <c r="DH33" s="8">
        <f t="shared" si="100"/>
        <v>1.4688993606086134</v>
      </c>
      <c r="DI33" s="8">
        <f t="shared" si="101"/>
        <v>1.4831819866177443</v>
      </c>
      <c r="DJ33" s="8">
        <f t="shared" si="102"/>
        <v>1.4978967873926441</v>
      </c>
      <c r="DK33" s="8">
        <f t="shared" si="103"/>
        <v>1.5130202046171706</v>
      </c>
      <c r="DL33" s="8">
        <f t="shared" si="104"/>
        <v>1.5285288592095589</v>
      </c>
      <c r="DM33" s="8">
        <f t="shared" si="105"/>
        <v>1.5443996110574323</v>
      </c>
      <c r="DN33" s="8">
        <f t="shared" si="106"/>
        <v>1.5606096111895245</v>
      </c>
      <c r="DO33">
        <f t="shared" si="107"/>
        <v>1.5771363467730171</v>
      </c>
      <c r="DP33" s="8">
        <f t="shared" si="108"/>
        <v>1.5939576793777166</v>
      </c>
      <c r="DQ33">
        <f t="shared" si="109"/>
        <v>1.6110518769831912</v>
      </c>
      <c r="DR33" s="8">
        <f t="shared" si="110"/>
        <v>1.6283976402247204</v>
      </c>
      <c r="DS33">
        <f t="shared" si="111"/>
        <v>1.6459741233808227</v>
      </c>
      <c r="DT33" s="8">
        <f t="shared" si="112"/>
        <v>1.663760950601463</v>
      </c>
      <c r="DU33">
        <f t="shared" si="113"/>
        <v>1.6817382278638735</v>
      </c>
      <c r="DV33" s="8">
        <f t="shared" si="114"/>
        <v>1.6998865511241665</v>
      </c>
      <c r="DW33">
        <f t="shared" si="115"/>
        <v>1.7181870111092925</v>
      </c>
      <c r="DX33" s="8">
        <f t="shared" si="116"/>
        <v>1.7366211951668606</v>
      </c>
      <c r="DY33">
        <f t="shared" si="117"/>
        <v>1.7551711865610968</v>
      </c>
      <c r="DZ33" s="8">
        <f t="shared" si="118"/>
        <v>1.7738195615729209</v>
      </c>
      <c r="EA33">
        <f t="shared" si="119"/>
        <v>1.7925493847314811</v>
      </c>
      <c r="EB33" s="8">
        <f t="shared" si="120"/>
        <v>1.8113442024742843</v>
      </c>
      <c r="EC33">
        <f t="shared" si="121"/>
        <v>1.3636785191476435</v>
      </c>
      <c r="ED33" s="8">
        <f t="shared" si="122"/>
        <v>1.8113442024742843</v>
      </c>
      <c r="EF33" s="23">
        <f t="shared" si="123"/>
        <v>1.0870275163207088</v>
      </c>
      <c r="EG33" s="8">
        <f t="shared" si="84"/>
        <v>2.4546213344657581</v>
      </c>
      <c r="EH33">
        <f t="shared" si="124"/>
        <v>1.0665</v>
      </c>
      <c r="EI33" s="8">
        <f t="shared" si="125"/>
        <v>4.608148850786467</v>
      </c>
    </row>
    <row r="34" spans="3:139" x14ac:dyDescent="0.3">
      <c r="G34" s="10"/>
      <c r="H34" s="10"/>
      <c r="I34" s="6">
        <v>16</v>
      </c>
      <c r="J34" s="6">
        <f t="shared" si="85"/>
        <v>0.189</v>
      </c>
      <c r="K34" s="6">
        <f t="shared" si="128"/>
        <v>-0.22247929999999999</v>
      </c>
      <c r="L34" s="23">
        <f t="shared" si="130"/>
        <v>-7.576349649964687</v>
      </c>
      <c r="M34">
        <f t="shared" si="87"/>
        <v>5.305307206077698</v>
      </c>
      <c r="N34" s="24">
        <f t="shared" si="88"/>
        <v>2.26064277</v>
      </c>
      <c r="O34" s="23">
        <f t="shared" si="89"/>
        <v>-7.5883779642386022</v>
      </c>
      <c r="P34">
        <f t="shared" si="90"/>
        <v>5.3198856029624011</v>
      </c>
      <c r="Q34" s="24">
        <f t="shared" si="91"/>
        <v>2.2383948400000002</v>
      </c>
      <c r="R34" s="23">
        <f t="shared" si="0"/>
        <v>-7.6000789894079173</v>
      </c>
      <c r="S34">
        <f t="shared" si="1"/>
        <v>5.3347279750769605</v>
      </c>
      <c r="T34" s="24">
        <f t="shared" si="2"/>
        <v>2.2161469100000004</v>
      </c>
      <c r="U34" s="23">
        <f t="shared" si="3"/>
        <v>-7.6114469340505373</v>
      </c>
      <c r="V34">
        <f t="shared" si="4"/>
        <v>5.3498269761896937</v>
      </c>
      <c r="W34" s="24">
        <f t="shared" si="5"/>
        <v>2.1938989800000006</v>
      </c>
      <c r="X34" s="23">
        <f t="shared" si="6"/>
        <v>-7.622476171602564</v>
      </c>
      <c r="Y34">
        <f t="shared" si="7"/>
        <v>5.3651751330504034</v>
      </c>
      <c r="Z34" s="24">
        <f t="shared" si="8"/>
        <v>2.1716510500000008</v>
      </c>
      <c r="AA34" s="23">
        <f t="shared" si="9"/>
        <v>-7.6331612431431655</v>
      </c>
      <c r="AB34">
        <f t="shared" si="10"/>
        <v>5.3807648490892612</v>
      </c>
      <c r="AC34" s="24">
        <f t="shared" si="11"/>
        <v>2.149403120000001</v>
      </c>
      <c r="AD34" s="23">
        <f t="shared" si="12"/>
        <v>-7.6434968600964686</v>
      </c>
      <c r="AE34">
        <f t="shared" si="13"/>
        <v>5.3965884081767292</v>
      </c>
      <c r="AF34" s="24">
        <f t="shared" si="14"/>
        <v>2.1271551900000012</v>
      </c>
      <c r="AG34" s="23">
        <f t="shared" si="15"/>
        <v>-7.6534779068491376</v>
      </c>
      <c r="AH34">
        <f t="shared" si="16"/>
        <v>5.4126379784426595</v>
      </c>
      <c r="AI34" s="24">
        <f t="shared" si="17"/>
        <v>2.1049072600000014</v>
      </c>
      <c r="AJ34" s="23">
        <f t="shared" si="18"/>
        <v>-7.6630994432823485</v>
      </c>
      <c r="AK34">
        <f t="shared" si="19"/>
        <v>5.4289056161526776</v>
      </c>
      <c r="AL34" s="24">
        <f t="shared" si="20"/>
        <v>2.0826593300000016</v>
      </c>
      <c r="AM34" s="23">
        <f t="shared" si="21"/>
        <v>-7.6723567072168999</v>
      </c>
      <c r="AN34">
        <f t="shared" si="22"/>
        <v>5.4453832696399331</v>
      </c>
      <c r="AO34" s="24">
        <f t="shared" si="23"/>
        <v>2.0604114000000018</v>
      </c>
      <c r="AP34" s="23">
        <f t="shared" si="24"/>
        <v>-7.6812451167702553</v>
      </c>
      <c r="AQ34">
        <f t="shared" si="25"/>
        <v>5.4620627832902713</v>
      </c>
      <c r="AR34" s="24">
        <f t="shared" si="26"/>
        <v>2.038163470000002</v>
      </c>
      <c r="AS34" s="23">
        <f t="shared" si="27"/>
        <v>-7.6897602726243433</v>
      </c>
      <c r="AT34">
        <f t="shared" si="28"/>
        <v>5.4789359015788568</v>
      </c>
      <c r="AU34" s="24">
        <f t="shared" si="29"/>
        <v>2.0159155400000022</v>
      </c>
      <c r="AV34" s="23">
        <f t="shared" si="30"/>
        <v>-7.6978979602030009</v>
      </c>
      <c r="AW34">
        <f t="shared" si="31"/>
        <v>5.495994273156243</v>
      </c>
      <c r="AX34" s="24">
        <f t="shared" si="32"/>
        <v>1.9936676100000021</v>
      </c>
      <c r="AY34" s="23">
        <f t="shared" si="33"/>
        <v>-7.7056541517579786</v>
      </c>
      <c r="AZ34">
        <f t="shared" si="34"/>
        <v>5.5132294549818726</v>
      </c>
      <c r="BA34" s="24">
        <f t="shared" si="35"/>
        <v>1.9714196800000021</v>
      </c>
      <c r="BB34" s="23">
        <f t="shared" si="36"/>
        <v>-7.7130250083624725</v>
      </c>
      <c r="BC34">
        <f t="shared" si="37"/>
        <v>5.5306329165029604</v>
      </c>
      <c r="BD34" s="24">
        <f t="shared" si="38"/>
        <v>1.9491717500000021</v>
      </c>
      <c r="BE34" s="23">
        <f t="shared" si="39"/>
        <v>-7.7200068818112033</v>
      </c>
      <c r="BF34">
        <f t="shared" si="40"/>
        <v>5.5481960438766915</v>
      </c>
      <c r="BG34" s="24">
        <f t="shared" si="41"/>
        <v>1.9269238200000021</v>
      </c>
      <c r="BH34" s="23">
        <f t="shared" si="42"/>
        <v>-7.726596316426094</v>
      </c>
      <c r="BI34">
        <f t="shared" si="43"/>
        <v>5.5659101442336407</v>
      </c>
      <c r="BJ34" s="24">
        <f t="shared" si="44"/>
        <v>1.904675890000002</v>
      </c>
      <c r="BK34" s="23">
        <f t="shared" si="45"/>
        <v>-7.732790050766658</v>
      </c>
      <c r="BL34">
        <f t="shared" si="46"/>
        <v>5.5837664499803097</v>
      </c>
      <c r="BM34" s="24">
        <f t="shared" si="47"/>
        <v>1.882427960000002</v>
      </c>
      <c r="BN34" s="23">
        <f t="shared" si="48"/>
        <v>-7.7385850192442485</v>
      </c>
      <c r="BO34">
        <f t="shared" si="49"/>
        <v>5.601756123138645</v>
      </c>
      <c r="BP34" s="24">
        <f t="shared" si="50"/>
        <v>1.860180030000002</v>
      </c>
      <c r="BQ34" s="23">
        <f t="shared" si="51"/>
        <v>-7.7439783536393714</v>
      </c>
      <c r="BR34">
        <f t="shared" si="52"/>
        <v>5.6198702597203978</v>
      </c>
      <c r="BS34" s="24">
        <f t="shared" si="53"/>
        <v>1.837932100000002</v>
      </c>
      <c r="BT34" s="23">
        <f t="shared" si="54"/>
        <v>-7.748967384521313</v>
      </c>
      <c r="BU34">
        <f t="shared" si="55"/>
        <v>5.6380998941341494</v>
      </c>
      <c r="BV34" s="24">
        <f t="shared" si="56"/>
        <v>1.8156841700000019</v>
      </c>
      <c r="BW34" s="23">
        <f t="shared" si="57"/>
        <v>-7.7535496425693706</v>
      </c>
      <c r="BX34">
        <f t="shared" si="58"/>
        <v>5.6564360036228338</v>
      </c>
      <c r="BY34" s="24">
        <f t="shared" si="59"/>
        <v>1.7934362400000019</v>
      </c>
      <c r="BZ34" s="23">
        <f t="shared" si="60"/>
        <v>-7.7577228597950461</v>
      </c>
      <c r="CA34">
        <f t="shared" si="61"/>
        <v>5.6748695127295488</v>
      </c>
      <c r="CB34" s="24">
        <f t="shared" si="62"/>
        <v>1.7711883100000019</v>
      </c>
      <c r="CC34" s="23">
        <f t="shared" si="63"/>
        <v>-7.7614849706645845</v>
      </c>
      <c r="CD34">
        <f t="shared" si="64"/>
        <v>5.6933912977894536</v>
      </c>
      <c r="CE34" s="24">
        <f t="shared" si="65"/>
        <v>1.7489403800000018</v>
      </c>
      <c r="CF34" s="23">
        <f t="shared" si="66"/>
        <v>-7.7648341131213119</v>
      </c>
      <c r="CG34">
        <f t="shared" si="67"/>
        <v>5.7119921914455265</v>
      </c>
      <c r="CH34" s="24">
        <f t="shared" si="68"/>
        <v>1.7266924500000018</v>
      </c>
      <c r="CI34" s="23">
        <f t="shared" si="69"/>
        <v>-7.7677686295072581</v>
      </c>
      <c r="CJ34">
        <f t="shared" si="70"/>
        <v>5.7306629871859496</v>
      </c>
      <c r="CK34" s="24">
        <f t="shared" si="71"/>
        <v>1.7044445200000018</v>
      </c>
      <c r="CL34" s="23">
        <f t="shared" si="72"/>
        <v>-7.7702870673836166</v>
      </c>
      <c r="CM34">
        <f t="shared" si="73"/>
        <v>5.7493944439008695</v>
      </c>
      <c r="CN34" s="24">
        <f t="shared" si="74"/>
        <v>1.6821965900000018</v>
      </c>
      <c r="CO34" s="23">
        <f t="shared" si="75"/>
        <v>-7.772388180249628</v>
      </c>
      <c r="CP34">
        <f t="shared" si="76"/>
        <v>5.7681772904562854</v>
      </c>
      <c r="CQ34" s="24">
        <f t="shared" si="77"/>
        <v>1.6599486600000017</v>
      </c>
      <c r="CR34" s="23">
        <f t="shared" si="78"/>
        <v>-7.7740709281595342</v>
      </c>
      <c r="CS34">
        <f t="shared" si="79"/>
        <v>5.7870022302827948</v>
      </c>
      <c r="CT34" s="24">
        <f t="shared" si="80"/>
        <v>1.6377007300000017</v>
      </c>
      <c r="CU34" s="23">
        <f t="shared" si="81"/>
        <v>-7.7753344782373031</v>
      </c>
      <c r="CV34">
        <f t="shared" si="82"/>
        <v>5.805859945976934</v>
      </c>
      <c r="CW34" s="24">
        <f t="shared" si="83"/>
        <v>1.6154528000000017</v>
      </c>
      <c r="CY34" s="8">
        <f t="shared" si="129"/>
        <v>1.3636785191476435</v>
      </c>
      <c r="CZ34" s="8">
        <f t="shared" si="92"/>
        <v>1.3729358835318586</v>
      </c>
      <c r="DA34" s="8">
        <f t="shared" si="93"/>
        <v>1.3827501417581867</v>
      </c>
      <c r="DB34" s="8">
        <f t="shared" si="94"/>
        <v>1.3931047198198243</v>
      </c>
      <c r="DC34" s="8">
        <f t="shared" si="95"/>
        <v>1.4039825966137809</v>
      </c>
      <c r="DD34" s="8">
        <f t="shared" si="96"/>
        <v>1.4153663867108677</v>
      </c>
      <c r="DE34" s="8">
        <f t="shared" si="97"/>
        <v>1.4272384195135532</v>
      </c>
      <c r="DF34" s="8">
        <f t="shared" si="98"/>
        <v>1.439580814259863</v>
      </c>
      <c r="DG34" s="8">
        <f t="shared" si="99"/>
        <v>1.452375550455004</v>
      </c>
      <c r="DH34" s="8">
        <f t="shared" si="100"/>
        <v>1.4656045334296315</v>
      </c>
      <c r="DI34" s="8">
        <f t="shared" si="101"/>
        <v>1.4792496548322627</v>
      </c>
      <c r="DJ34" s="8">
        <f t="shared" si="102"/>
        <v>1.4932928479616265</v>
      </c>
      <c r="DK34" s="8">
        <f t="shared" si="103"/>
        <v>1.5077161379316228</v>
      </c>
      <c r="DL34" s="8">
        <f t="shared" si="104"/>
        <v>1.5225016867365906</v>
      </c>
      <c r="DM34" s="8">
        <f t="shared" si="105"/>
        <v>1.5376318333476504</v>
      </c>
      <c r="DN34" s="8">
        <f t="shared" si="106"/>
        <v>1.5530891290223874</v>
      </c>
      <c r="DO34">
        <f t="shared" si="107"/>
        <v>1.5688563680506855</v>
      </c>
      <c r="DP34" s="8">
        <f t="shared" si="108"/>
        <v>1.5849166141899915</v>
      </c>
      <c r="DQ34">
        <f t="shared" si="109"/>
        <v>1.6012532230646384</v>
      </c>
      <c r="DR34" s="8">
        <f t="shared" si="110"/>
        <v>1.6178498608172056</v>
      </c>
      <c r="DS34">
        <f t="shared" si="111"/>
        <v>1.6346905193062791</v>
      </c>
      <c r="DT34" s="8">
        <f t="shared" si="112"/>
        <v>1.6517595281455391</v>
      </c>
      <c r="DU34">
        <f t="shared" si="113"/>
        <v>1.6690415638747773</v>
      </c>
      <c r="DV34" s="8">
        <f t="shared" si="114"/>
        <v>1.6865216565452976</v>
      </c>
      <c r="DW34">
        <f t="shared" si="115"/>
        <v>1.7041851939909183</v>
      </c>
      <c r="DX34" s="8">
        <f t="shared" si="116"/>
        <v>1.722017924042355</v>
      </c>
      <c r="DY34">
        <f t="shared" si="117"/>
        <v>1.7400059549276865</v>
      </c>
      <c r="DZ34" s="8">
        <f t="shared" si="118"/>
        <v>1.7581357540855638</v>
      </c>
      <c r="EA34">
        <f t="shared" si="119"/>
        <v>1.7763941456011954</v>
      </c>
      <c r="EB34" s="8">
        <f t="shared" si="120"/>
        <v>1.7947683064584199</v>
      </c>
      <c r="EC34">
        <f t="shared" si="121"/>
        <v>1.3636785191476435</v>
      </c>
      <c r="ED34" s="8">
        <f t="shared" si="122"/>
        <v>1.7947683064584199</v>
      </c>
      <c r="EF34" s="23">
        <f t="shared" si="123"/>
        <v>0.92904853028089107</v>
      </c>
      <c r="EG34" s="8">
        <f t="shared" si="84"/>
        <v>2.4546213344657581</v>
      </c>
      <c r="EH34">
        <f t="shared" si="124"/>
        <v>1.0665</v>
      </c>
      <c r="EI34" s="8">
        <f t="shared" si="125"/>
        <v>4.4501698647466492</v>
      </c>
    </row>
    <row r="35" spans="3:139" x14ac:dyDescent="0.3">
      <c r="C35">
        <f>(G6^2)/2*C3</f>
        <v>2.570445E-2</v>
      </c>
      <c r="G35" s="10"/>
      <c r="H35" s="10"/>
      <c r="I35" s="6">
        <v>17</v>
      </c>
      <c r="J35" s="6">
        <f t="shared" si="85"/>
        <v>0.189</v>
      </c>
      <c r="K35" s="6">
        <f t="shared" si="128"/>
        <v>-0.17011939999999998</v>
      </c>
      <c r="L35" s="23">
        <f t="shared" si="130"/>
        <v>-7.576349649964687</v>
      </c>
      <c r="M35">
        <f t="shared" si="87"/>
        <v>5.305307206077698</v>
      </c>
      <c r="N35" s="24">
        <f t="shared" si="88"/>
        <v>2.2658787599999997</v>
      </c>
      <c r="O35" s="23">
        <f t="shared" si="89"/>
        <v>-7.5884541313488274</v>
      </c>
      <c r="P35">
        <f t="shared" si="90"/>
        <v>5.3198224232796898</v>
      </c>
      <c r="Q35" s="24">
        <f t="shared" si="91"/>
        <v>2.2488668199999995</v>
      </c>
      <c r="R35" s="23">
        <f t="shared" si="0"/>
        <v>-7.6003099411261248</v>
      </c>
      <c r="S35">
        <f t="shared" si="1"/>
        <v>5.3345414509148474</v>
      </c>
      <c r="T35" s="24">
        <f t="shared" si="2"/>
        <v>2.2318548799999993</v>
      </c>
      <c r="U35" s="23">
        <f t="shared" si="3"/>
        <v>-7.6119136482356273</v>
      </c>
      <c r="V35">
        <f t="shared" si="4"/>
        <v>5.3494600293094825</v>
      </c>
      <c r="W35" s="24">
        <f t="shared" si="5"/>
        <v>2.2148429399999991</v>
      </c>
      <c r="X35" s="23">
        <f t="shared" si="6"/>
        <v>-7.6232618945746742</v>
      </c>
      <c r="Y35">
        <f t="shared" si="7"/>
        <v>5.3645738410400918</v>
      </c>
      <c r="Z35" s="24">
        <f t="shared" si="8"/>
        <v>2.197830999999999</v>
      </c>
      <c r="AA35" s="23">
        <f t="shared" si="9"/>
        <v>-7.6343513959707279</v>
      </c>
      <c r="AB35">
        <f t="shared" si="10"/>
        <v>5.3798785121828159</v>
      </c>
      <c r="AC35" s="24">
        <f t="shared" si="11"/>
        <v>2.1808190599999988</v>
      </c>
      <c r="AD35" s="23">
        <f t="shared" si="12"/>
        <v>-7.6451789431318105</v>
      </c>
      <c r="AE35">
        <f t="shared" si="13"/>
        <v>5.3953696135792484</v>
      </c>
      <c r="AF35" s="24">
        <f t="shared" si="14"/>
        <v>2.1638071199999986</v>
      </c>
      <c r="AG35" s="23">
        <f t="shared" si="15"/>
        <v>-7.655741402575269</v>
      </c>
      <c r="AH35">
        <f t="shared" si="16"/>
        <v>5.4110426621182306</v>
      </c>
      <c r="AI35" s="24">
        <f t="shared" si="17"/>
        <v>2.1467951799999985</v>
      </c>
      <c r="AJ35" s="23">
        <f t="shared" si="18"/>
        <v>-7.6660357175346041</v>
      </c>
      <c r="AK35">
        <f t="shared" si="19"/>
        <v>5.4268931220332615</v>
      </c>
      <c r="AL35" s="24">
        <f t="shared" si="20"/>
        <v>2.1297832399999983</v>
      </c>
      <c r="AM35" s="23">
        <f t="shared" si="21"/>
        <v>-7.6760589088440954</v>
      </c>
      <c r="AN35">
        <f t="shared" si="22"/>
        <v>5.4429164062151436</v>
      </c>
      <c r="AO35" s="24">
        <f t="shared" si="23"/>
        <v>2.1127712999999981</v>
      </c>
      <c r="AP35" s="23">
        <f t="shared" si="24"/>
        <v>-7.6858080758009679</v>
      </c>
      <c r="AQ35">
        <f t="shared" si="25"/>
        <v>5.4591078775394868</v>
      </c>
      <c r="AR35" s="24">
        <f t="shared" si="26"/>
        <v>2.095759359999998</v>
      </c>
      <c r="AS35" s="23">
        <f t="shared" si="27"/>
        <v>-7.6952803970048551</v>
      </c>
      <c r="AT35">
        <f t="shared" si="28"/>
        <v>5.4754628502086904</v>
      </c>
      <c r="AU35" s="24">
        <f t="shared" si="29"/>
        <v>2.0787474199999978</v>
      </c>
      <c r="AV35" s="23">
        <f t="shared" si="30"/>
        <v>-7.7044731311743071</v>
      </c>
      <c r="AW35">
        <f t="shared" si="31"/>
        <v>5.4919765911080072</v>
      </c>
      <c r="AX35" s="24">
        <f t="shared" si="32"/>
        <v>2.0617354799999976</v>
      </c>
      <c r="AY35" s="23">
        <f t="shared" si="33"/>
        <v>-7.713383617940119</v>
      </c>
      <c r="AZ35">
        <f t="shared" si="34"/>
        <v>5.5086443211753044</v>
      </c>
      <c r="BA35" s="24">
        <f t="shared" si="35"/>
        <v>2.0447235399999975</v>
      </c>
      <c r="BB35" s="23">
        <f t="shared" si="36"/>
        <v>-7.7220092786152348</v>
      </c>
      <c r="BC35">
        <f t="shared" si="37"/>
        <v>5.5254612167841186</v>
      </c>
      <c r="BD35" s="24">
        <f t="shared" si="38"/>
        <v>2.0277115999999973</v>
      </c>
      <c r="BE35" s="23">
        <f t="shared" si="39"/>
        <v>-7.7303476169410201</v>
      </c>
      <c r="BF35">
        <f t="shared" si="40"/>
        <v>5.5424224111396097</v>
      </c>
      <c r="BG35" s="24">
        <f t="shared" si="41"/>
        <v>2.0106996599999971</v>
      </c>
      <c r="BH35" s="23">
        <f t="shared" si="42"/>
        <v>-7.7383962198096761</v>
      </c>
      <c r="BI35">
        <f t="shared" si="43"/>
        <v>5.559522995687006</v>
      </c>
      <c r="BJ35" s="24">
        <f t="shared" si="44"/>
        <v>1.9936877199999972</v>
      </c>
      <c r="BK35" s="23">
        <f t="shared" si="45"/>
        <v>-7.7461527579625917</v>
      </c>
      <c r="BL35">
        <f t="shared" si="46"/>
        <v>5.5767580215321377</v>
      </c>
      <c r="BM35" s="24">
        <f t="shared" si="47"/>
        <v>1.9766757799999972</v>
      </c>
      <c r="BN35" s="23">
        <f t="shared" si="48"/>
        <v>-7.7536149866644282</v>
      </c>
      <c r="BO35">
        <f t="shared" si="49"/>
        <v>5.5941225008736408</v>
      </c>
      <c r="BP35" s="24">
        <f t="shared" si="50"/>
        <v>1.9596638399999973</v>
      </c>
      <c r="BQ35" s="23">
        <f t="shared" si="51"/>
        <v>-7.7607807463527436</v>
      </c>
      <c r="BR35">
        <f t="shared" si="52"/>
        <v>5.6116114084464233</v>
      </c>
      <c r="BS35" s="24">
        <f t="shared" si="53"/>
        <v>1.9426518999999973</v>
      </c>
      <c r="BT35" s="23">
        <f t="shared" si="54"/>
        <v>-7.7676479632629691</v>
      </c>
      <c r="BU35">
        <f t="shared" si="55"/>
        <v>5.6292196829759709</v>
      </c>
      <c r="BV35" s="24">
        <f t="shared" si="56"/>
        <v>1.9256399599999974</v>
      </c>
      <c r="BW35" s="23">
        <f t="shared" si="57"/>
        <v>-7.7742146500285534</v>
      </c>
      <c r="BX35">
        <f t="shared" si="58"/>
        <v>5.6469422286430779</v>
      </c>
      <c r="BY35" s="24">
        <f t="shared" si="59"/>
        <v>1.9086280199999974</v>
      </c>
      <c r="BZ35" s="23">
        <f t="shared" si="60"/>
        <v>-7.7804789062561053</v>
      </c>
      <c r="CA35">
        <f t="shared" si="61"/>
        <v>5.6647739165585724</v>
      </c>
      <c r="CB35" s="24">
        <f t="shared" si="62"/>
        <v>1.8916160799999975</v>
      </c>
      <c r="CC35" s="23">
        <f t="shared" si="63"/>
        <v>-7.7864389190753664</v>
      </c>
      <c r="CD35">
        <f t="shared" si="64"/>
        <v>5.6827095862476096</v>
      </c>
      <c r="CE35" s="24">
        <f t="shared" si="65"/>
        <v>1.8746041399999975</v>
      </c>
      <c r="CF35" s="23">
        <f t="shared" si="66"/>
        <v>-7.7920929636638547</v>
      </c>
      <c r="CG35">
        <f t="shared" si="67"/>
        <v>5.7007440471431119</v>
      </c>
      <c r="CH35" s="24">
        <f t="shared" si="68"/>
        <v>1.8575921999999976</v>
      </c>
      <c r="CI35" s="23">
        <f t="shared" si="69"/>
        <v>-7.7974394037460248</v>
      </c>
      <c r="CJ35">
        <f t="shared" si="70"/>
        <v>5.7188720800879125</v>
      </c>
      <c r="CK35" s="24">
        <f t="shared" si="71"/>
        <v>1.8405802599999976</v>
      </c>
      <c r="CL35" s="23">
        <f t="shared" si="72"/>
        <v>-7.8024766920668052</v>
      </c>
      <c r="CM35">
        <f t="shared" si="73"/>
        <v>5.7370884388451762</v>
      </c>
      <c r="CN35" s="24">
        <f t="shared" si="74"/>
        <v>1.8235683199999977</v>
      </c>
      <c r="CO35" s="23">
        <f t="shared" si="75"/>
        <v>-7.8072033708393747</v>
      </c>
      <c r="CP35">
        <f t="shared" si="76"/>
        <v>5.7553878516166543</v>
      </c>
      <c r="CQ35" s="24">
        <f t="shared" si="77"/>
        <v>1.8065563799999977</v>
      </c>
      <c r="CR35" s="23">
        <f t="shared" si="78"/>
        <v>-7.8116180721670414</v>
      </c>
      <c r="CS35">
        <f t="shared" si="79"/>
        <v>5.7737650225683401</v>
      </c>
      <c r="CT35" s="24">
        <f t="shared" si="80"/>
        <v>1.7895444399999978</v>
      </c>
      <c r="CU35" s="23">
        <f t="shared" si="81"/>
        <v>-7.8157195184391126</v>
      </c>
      <c r="CV35">
        <f t="shared" si="82"/>
        <v>5.792214633363078</v>
      </c>
      <c r="CW35" s="24">
        <f t="shared" si="83"/>
        <v>1.7725324999999978</v>
      </c>
      <c r="CY35" s="8">
        <f t="shared" si="129"/>
        <v>1.3636785191476435</v>
      </c>
      <c r="CZ35" s="8">
        <f t="shared" si="92"/>
        <v>1.372849772925461</v>
      </c>
      <c r="DA35" s="8">
        <f t="shared" si="93"/>
        <v>1.3824955358141708</v>
      </c>
      <c r="DB35" s="8">
        <f t="shared" si="94"/>
        <v>1.3926031863672244</v>
      </c>
      <c r="DC35" s="8">
        <f t="shared" si="95"/>
        <v>1.4031598504293352</v>
      </c>
      <c r="DD35" s="8">
        <f t="shared" si="96"/>
        <v>1.4141524524500519</v>
      </c>
      <c r="DE35" s="8">
        <f t="shared" si="97"/>
        <v>1.425567764383014</v>
      </c>
      <c r="DF35" s="8">
        <f t="shared" si="98"/>
        <v>1.4373924519221741</v>
      </c>
      <c r="DG35" s="8">
        <f t="shared" si="99"/>
        <v>1.4496131178869833</v>
      </c>
      <c r="DH35" s="8">
        <f t="shared" si="100"/>
        <v>1.4622163426255523</v>
      </c>
      <c r="DI35" s="8">
        <f t="shared" si="101"/>
        <v>1.4751887213573209</v>
      </c>
      <c r="DJ35" s="8">
        <f t="shared" si="102"/>
        <v>1.4885168984241794</v>
      </c>
      <c r="DK35" s="8">
        <f t="shared" si="103"/>
        <v>1.502187598460921</v>
      </c>
      <c r="DL35" s="8">
        <f t="shared" si="104"/>
        <v>1.5161876545322772</v>
      </c>
      <c r="DM35" s="8">
        <f t="shared" si="105"/>
        <v>1.5305040333145625</v>
      </c>
      <c r="DN35" s="8">
        <f t="shared" si="106"/>
        <v>1.5451238574253574</v>
      </c>
      <c r="DO35">
        <f t="shared" si="107"/>
        <v>1.5600344250249654</v>
      </c>
      <c r="DP35" s="8">
        <f t="shared" si="108"/>
        <v>1.5752232268289501</v>
      </c>
      <c r="DQ35">
        <f t="shared" si="109"/>
        <v>1.5906779606823369</v>
      </c>
      <c r="DR35" s="8">
        <f t="shared" si="110"/>
        <v>1.6063865438535128</v>
      </c>
      <c r="DS35">
        <f t="shared" si="111"/>
        <v>1.6223371232099217</v>
      </c>
      <c r="DT35" s="8">
        <f t="shared" si="112"/>
        <v>1.6385180834388546</v>
      </c>
      <c r="DU35">
        <f t="shared" si="113"/>
        <v>1.6549180534753407</v>
      </c>
      <c r="DV35" s="8">
        <f t="shared" si="114"/>
        <v>1.6715259112958842</v>
      </c>
      <c r="DW35">
        <f t="shared" si="115"/>
        <v>1.6883307872318714</v>
      </c>
      <c r="DX35" s="8">
        <f t="shared" si="116"/>
        <v>1.7053220659502804</v>
      </c>
      <c r="DY35">
        <f t="shared" si="117"/>
        <v>1.7224893872421967</v>
      </c>
      <c r="DZ35" s="8">
        <f t="shared" si="118"/>
        <v>1.7398226457518144</v>
      </c>
      <c r="EA35">
        <f t="shared" si="119"/>
        <v>1.7573119897703517</v>
      </c>
      <c r="EB35" s="8">
        <f t="shared" si="120"/>
        <v>1.774947819210823</v>
      </c>
      <c r="EC35">
        <f t="shared" si="121"/>
        <v>1.3636785191476435</v>
      </c>
      <c r="ED35" s="8">
        <f t="shared" si="122"/>
        <v>1.774947819210823</v>
      </c>
      <c r="EF35" s="23">
        <f t="shared" si="123"/>
        <v>0.77098071947500291</v>
      </c>
      <c r="EG35" s="8">
        <f t="shared" si="84"/>
        <v>2.4546213344657581</v>
      </c>
      <c r="EH35">
        <f t="shared" si="124"/>
        <v>1.0665</v>
      </c>
      <c r="EI35" s="8">
        <f t="shared" si="125"/>
        <v>4.2921020539407611</v>
      </c>
    </row>
    <row r="36" spans="3:139" x14ac:dyDescent="0.3">
      <c r="G36" s="10"/>
      <c r="H36" s="10"/>
      <c r="I36" s="6">
        <v>18</v>
      </c>
      <c r="J36" s="6">
        <f t="shared" si="85"/>
        <v>0.189</v>
      </c>
      <c r="K36" s="6">
        <f t="shared" si="128"/>
        <v>-0.11775949999999998</v>
      </c>
      <c r="L36" s="23">
        <f t="shared" si="130"/>
        <v>-7.576349649964687</v>
      </c>
      <c r="M36">
        <f t="shared" si="87"/>
        <v>5.305307206077698</v>
      </c>
      <c r="N36" s="24">
        <f t="shared" si="88"/>
        <v>2.2711147499999997</v>
      </c>
      <c r="O36" s="23">
        <f t="shared" si="89"/>
        <v>-7.5885299666082959</v>
      </c>
      <c r="P36">
        <f t="shared" si="90"/>
        <v>5.3197588456546256</v>
      </c>
      <c r="Q36" s="24">
        <f t="shared" si="91"/>
        <v>2.2593387999999996</v>
      </c>
      <c r="R36" s="23">
        <f t="shared" si="0"/>
        <v>-7.6005392608693159</v>
      </c>
      <c r="S36">
        <f t="shared" si="1"/>
        <v>5.3343529147017499</v>
      </c>
      <c r="T36" s="24">
        <f t="shared" si="2"/>
        <v>2.2475628499999996</v>
      </c>
      <c r="U36" s="23">
        <f t="shared" si="3"/>
        <v>-7.6123758674021476</v>
      </c>
      <c r="V36">
        <f t="shared" si="4"/>
        <v>5.3490873894391449</v>
      </c>
      <c r="W36" s="24">
        <f t="shared" si="5"/>
        <v>2.2357868999999995</v>
      </c>
      <c r="X36" s="23">
        <f t="shared" si="6"/>
        <v>-7.6240381448080408</v>
      </c>
      <c r="Y36">
        <f t="shared" si="7"/>
        <v>5.36396022661663</v>
      </c>
      <c r="Z36" s="24">
        <f t="shared" si="8"/>
        <v>2.2240109499999994</v>
      </c>
      <c r="AA36" s="23">
        <f t="shared" si="9"/>
        <v>-7.6355244758627085</v>
      </c>
      <c r="AB36">
        <f t="shared" si="10"/>
        <v>5.3789693637971139</v>
      </c>
      <c r="AC36" s="24">
        <f t="shared" si="11"/>
        <v>2.2122349999999993</v>
      </c>
      <c r="AD36" s="23">
        <f t="shared" si="12"/>
        <v>-7.6468332677405897</v>
      </c>
      <c r="AE36">
        <f t="shared" si="13"/>
        <v>5.3941127196425915</v>
      </c>
      <c r="AF36" s="24">
        <f t="shared" si="14"/>
        <v>2.2004590499999992</v>
      </c>
      <c r="AG36" s="23">
        <f t="shared" si="15"/>
        <v>-7.657962952235728</v>
      </c>
      <c r="AH36">
        <f t="shared" si="16"/>
        <v>5.4093881942027702</v>
      </c>
      <c r="AI36" s="24">
        <f t="shared" si="17"/>
        <v>2.1886830999999991</v>
      </c>
      <c r="AJ36" s="23">
        <f t="shared" si="18"/>
        <v>-7.6689119859792392</v>
      </c>
      <c r="AK36">
        <f t="shared" si="19"/>
        <v>5.4247936692062693</v>
      </c>
      <c r="AL36" s="24">
        <f t="shared" si="20"/>
        <v>2.176907149999999</v>
      </c>
      <c r="AM36" s="23">
        <f t="shared" si="21"/>
        <v>-7.6796788506533309</v>
      </c>
      <c r="AN36">
        <f t="shared" si="22"/>
        <v>5.440327008354366</v>
      </c>
      <c r="AO36" s="24">
        <f t="shared" si="23"/>
        <v>2.1651311999999989</v>
      </c>
      <c r="AP36" s="23">
        <f t="shared" si="24"/>
        <v>-7.6902620532018489</v>
      </c>
      <c r="AQ36">
        <f t="shared" si="25"/>
        <v>5.4559860576172383</v>
      </c>
      <c r="AR36" s="24">
        <f t="shared" si="26"/>
        <v>2.1533552499999988</v>
      </c>
      <c r="AS36" s="23">
        <f t="shared" si="27"/>
        <v>-7.700660126037322</v>
      </c>
      <c r="AT36">
        <f t="shared" si="28"/>
        <v>5.4717686455326655</v>
      </c>
      <c r="AU36" s="24">
        <f t="shared" si="29"/>
        <v>2.1415792999999987</v>
      </c>
      <c r="AV36" s="23">
        <f t="shared" si="30"/>
        <v>-7.7108716272444768</v>
      </c>
      <c r="AW36">
        <f t="shared" si="31"/>
        <v>5.4876725835071509</v>
      </c>
      <c r="AX36" s="24">
        <f t="shared" si="32"/>
        <v>2.1298033499999987</v>
      </c>
      <c r="AY36" s="23">
        <f t="shared" si="33"/>
        <v>-7.7208951407801862</v>
      </c>
      <c r="AZ36">
        <f t="shared" si="34"/>
        <v>5.5036956661194152</v>
      </c>
      <c r="BA36" s="24">
        <f t="shared" si="35"/>
        <v>2.1180273999999986</v>
      </c>
      <c r="BB36" s="23">
        <f t="shared" si="36"/>
        <v>-7.7307292766698357</v>
      </c>
      <c r="BC36">
        <f t="shared" si="37"/>
        <v>5.5198356714262262</v>
      </c>
      <c r="BD36" s="24">
        <f t="shared" si="38"/>
        <v>2.1062514499999985</v>
      </c>
      <c r="BE36" s="23">
        <f t="shared" si="39"/>
        <v>-7.7403726712000749</v>
      </c>
      <c r="BF36">
        <f t="shared" si="40"/>
        <v>5.536090361270519</v>
      </c>
      <c r="BG36" s="24">
        <f t="shared" si="41"/>
        <v>2.0944754999999984</v>
      </c>
      <c r="BH36" s="23">
        <f t="shared" si="42"/>
        <v>-7.7498239871079235</v>
      </c>
      <c r="BI36">
        <f t="shared" si="43"/>
        <v>5.5524574815917624</v>
      </c>
      <c r="BJ36" s="24">
        <f t="shared" si="44"/>
        <v>2.0826995499999983</v>
      </c>
      <c r="BK36" s="23">
        <f t="shared" si="45"/>
        <v>-7.7590819137662104</v>
      </c>
      <c r="BL36">
        <f t="shared" si="46"/>
        <v>5.568934762738535</v>
      </c>
      <c r="BM36" s="24">
        <f t="shared" si="47"/>
        <v>2.0709235999999982</v>
      </c>
      <c r="BN36" s="23">
        <f t="shared" si="48"/>
        <v>-7.7681451673653239</v>
      </c>
      <c r="BO36">
        <f t="shared" si="49"/>
        <v>5.585519919783259</v>
      </c>
      <c r="BP36" s="24">
        <f t="shared" si="50"/>
        <v>2.0591476499999981</v>
      </c>
      <c r="BQ36" s="23">
        <f t="shared" si="51"/>
        <v>-7.7770124910912353</v>
      </c>
      <c r="BR36">
        <f t="shared" si="52"/>
        <v>5.6022106528390561</v>
      </c>
      <c r="BS36" s="24">
        <f t="shared" si="53"/>
        <v>2.047371699999998</v>
      </c>
      <c r="BT36" s="23">
        <f t="shared" si="54"/>
        <v>-7.7856826552997864</v>
      </c>
      <c r="BU36">
        <f t="shared" si="55"/>
        <v>5.6190046473786754</v>
      </c>
      <c r="BV36" s="24">
        <f t="shared" si="56"/>
        <v>2.0355957499999979</v>
      </c>
      <c r="BW36" s="23">
        <f t="shared" si="57"/>
        <v>-7.7941544576872035</v>
      </c>
      <c r="BX36">
        <f t="shared" si="58"/>
        <v>5.6358995745554514</v>
      </c>
      <c r="BY36" s="24">
        <f t="shared" si="59"/>
        <v>2.0238197999999978</v>
      </c>
      <c r="BZ36" s="23">
        <f t="shared" si="60"/>
        <v>-7.802426723456823</v>
      </c>
      <c r="CA36">
        <f t="shared" si="61"/>
        <v>5.6528930915262485</v>
      </c>
      <c r="CB36" s="24">
        <f t="shared" si="62"/>
        <v>2.0120438499999977</v>
      </c>
      <c r="CC36" s="23">
        <f t="shared" si="63"/>
        <v>-7.8104983054820041</v>
      </c>
      <c r="CD36">
        <f t="shared" si="64"/>
        <v>5.6699828417763474</v>
      </c>
      <c r="CE36" s="24">
        <f t="shared" si="65"/>
        <v>2.0002678999999977</v>
      </c>
      <c r="CF36" s="23">
        <f t="shared" si="66"/>
        <v>-7.8183680844652006</v>
      </c>
      <c r="CG36">
        <f t="shared" si="67"/>
        <v>5.687166455446226</v>
      </c>
      <c r="CH36" s="24">
        <f t="shared" si="68"/>
        <v>1.9884919499999976</v>
      </c>
      <c r="CI36" s="23">
        <f t="shared" si="69"/>
        <v>-7.8260349690931754</v>
      </c>
      <c r="CJ36">
        <f t="shared" si="70"/>
        <v>5.7044415496601895</v>
      </c>
      <c r="CK36" s="24">
        <f t="shared" si="71"/>
        <v>1.9767159999999975</v>
      </c>
      <c r="CL36" s="23">
        <f t="shared" si="72"/>
        <v>-7.8334978961883346</v>
      </c>
      <c r="CM36">
        <f t="shared" si="73"/>
        <v>5.7218057288568094</v>
      </c>
      <c r="CN36" s="24">
        <f t="shared" si="74"/>
        <v>1.9649400499999974</v>
      </c>
      <c r="CO36" s="23">
        <f t="shared" si="75"/>
        <v>-7.8407558308561613</v>
      </c>
      <c r="CP36">
        <f t="shared" si="76"/>
        <v>5.7392565851211179</v>
      </c>
      <c r="CQ36" s="24">
        <f t="shared" si="77"/>
        <v>1.9531640999999973</v>
      </c>
      <c r="CR36" s="23">
        <f t="shared" si="78"/>
        <v>-7.8478077666287227</v>
      </c>
      <c r="CS36">
        <f t="shared" si="79"/>
        <v>5.7567916985185175</v>
      </c>
      <c r="CT36" s="24">
        <f t="shared" si="80"/>
        <v>1.9413881499999972</v>
      </c>
      <c r="CU36" s="23">
        <f t="shared" si="81"/>
        <v>-7.8546527256042422</v>
      </c>
      <c r="CV36">
        <f t="shared" si="82"/>
        <v>5.7744086374303558</v>
      </c>
      <c r="CW36" s="24">
        <f t="shared" si="83"/>
        <v>1.9296121999999971</v>
      </c>
      <c r="CY36" s="8">
        <f t="shared" si="129"/>
        <v>1.3636785191476435</v>
      </c>
      <c r="CZ36" s="8">
        <f t="shared" si="92"/>
        <v>1.3727634098737891</v>
      </c>
      <c r="DA36" s="8">
        <f t="shared" si="93"/>
        <v>1.3822396187715231</v>
      </c>
      <c r="DB36" s="8">
        <f t="shared" si="94"/>
        <v>1.3920978542950089</v>
      </c>
      <c r="DC36" s="8">
        <f t="shared" si="95"/>
        <v>1.4023287073682051</v>
      </c>
      <c r="DD36" s="8">
        <f t="shared" si="96"/>
        <v>1.4129226807942392</v>
      </c>
      <c r="DE36" s="8">
        <f t="shared" si="97"/>
        <v>1.4238702171481787</v>
      </c>
      <c r="DF36" s="8">
        <f t="shared" si="98"/>
        <v>1.4351617250614528</v>
      </c>
      <c r="DG36" s="8">
        <f t="shared" si="99"/>
        <v>1.4467876038325915</v>
      </c>
      <c r="DH36" s="8">
        <f t="shared" si="100"/>
        <v>1.4587382663235058</v>
      </c>
      <c r="DI36" s="8">
        <f t="shared" si="101"/>
        <v>1.4710041601228516</v>
      </c>
      <c r="DJ36" s="8">
        <f t="shared" si="102"/>
        <v>1.4835757869780721</v>
      </c>
      <c r="DK36" s="8">
        <f t="shared" si="103"/>
        <v>1.4964437205153758</v>
      </c>
      <c r="DL36" s="8">
        <f t="shared" si="104"/>
        <v>1.5095986222821534</v>
      </c>
      <c r="DM36" s="8">
        <f t="shared" si="105"/>
        <v>1.5230312561592985</v>
      </c>
      <c r="DN36" s="8">
        <f t="shared" si="106"/>
        <v>1.5367325012015645</v>
      </c>
      <c r="DO36">
        <f t="shared" si="107"/>
        <v>1.5506933629727042</v>
      </c>
      <c r="DP36" s="8">
        <f t="shared" si="108"/>
        <v>1.5649049834487385</v>
      </c>
      <c r="DQ36">
        <f t="shared" si="109"/>
        <v>1.5793586495675636</v>
      </c>
      <c r="DR36" s="8">
        <f t="shared" si="110"/>
        <v>1.5940458005063469</v>
      </c>
      <c r="DS36">
        <f t="shared" si="111"/>
        <v>1.6089580337699749</v>
      </c>
      <c r="DT36" s="8">
        <f t="shared" si="112"/>
        <v>1.624087110174411</v>
      </c>
      <c r="DU36">
        <f t="shared" si="113"/>
        <v>1.6394249578083504</v>
      </c>
      <c r="DV36" s="8">
        <f t="shared" si="114"/>
        <v>1.654963675055185</v>
      </c>
      <c r="DW36">
        <f t="shared" si="115"/>
        <v>1.6706955327551902</v>
      </c>
      <c r="DX36" s="8">
        <f t="shared" si="116"/>
        <v>1.6866129755851502</v>
      </c>
      <c r="DY36">
        <f t="shared" si="117"/>
        <v>1.7027086227294796</v>
      </c>
      <c r="DZ36" s="8">
        <f t="shared" si="118"/>
        <v>1.7189752679133776</v>
      </c>
      <c r="EA36">
        <f t="shared" si="119"/>
        <v>1.7354058788648106</v>
      </c>
      <c r="EB36" s="8">
        <f t="shared" si="120"/>
        <v>1.7519935962681898</v>
      </c>
      <c r="EC36">
        <f t="shared" si="121"/>
        <v>1.3636785191476435</v>
      </c>
      <c r="ED36" s="8">
        <f t="shared" si="122"/>
        <v>1.7519935962681898</v>
      </c>
      <c r="EF36" s="23">
        <f t="shared" si="123"/>
        <v>0.61283529124666858</v>
      </c>
      <c r="EG36" s="8">
        <f t="shared" si="84"/>
        <v>2.4546213344657581</v>
      </c>
      <c r="EH36">
        <f t="shared" si="124"/>
        <v>1.0665</v>
      </c>
      <c r="EI36" s="8">
        <f t="shared" si="125"/>
        <v>4.1339566257124272</v>
      </c>
    </row>
    <row r="37" spans="3:139" x14ac:dyDescent="0.3">
      <c r="G37" s="10"/>
      <c r="H37" s="10"/>
      <c r="I37" s="6">
        <v>19</v>
      </c>
      <c r="J37" s="6">
        <f t="shared" si="85"/>
        <v>0.189</v>
      </c>
      <c r="K37" s="6">
        <f t="shared" si="128"/>
        <v>-6.5399599999999974E-2</v>
      </c>
      <c r="L37" s="23">
        <f t="shared" si="130"/>
        <v>-7.576349649964687</v>
      </c>
      <c r="M37">
        <f t="shared" si="87"/>
        <v>5.305307206077698</v>
      </c>
      <c r="N37" s="24">
        <f t="shared" si="88"/>
        <v>2.2763507399999998</v>
      </c>
      <c r="O37" s="23">
        <f t="shared" si="89"/>
        <v>-7.5886054679379447</v>
      </c>
      <c r="P37">
        <f t="shared" si="90"/>
        <v>5.3196948718302224</v>
      </c>
      <c r="Q37" s="24">
        <f t="shared" si="91"/>
        <v>2.2698107799999998</v>
      </c>
      <c r="R37" s="23">
        <f t="shared" si="0"/>
        <v>-7.6007669297271105</v>
      </c>
      <c r="S37">
        <f t="shared" si="1"/>
        <v>5.33416238188381</v>
      </c>
      <c r="T37" s="24">
        <f t="shared" si="2"/>
        <v>2.2632708199999998</v>
      </c>
      <c r="U37" s="23">
        <f t="shared" si="3"/>
        <v>-7.6128335151752218</v>
      </c>
      <c r="V37">
        <f t="shared" si="4"/>
        <v>5.3487091174496832</v>
      </c>
      <c r="W37" s="24">
        <f t="shared" si="5"/>
        <v>2.2567308599999998</v>
      </c>
      <c r="X37" s="23">
        <f t="shared" si="6"/>
        <v>-7.6248047081832651</v>
      </c>
      <c r="Y37">
        <f t="shared" si="7"/>
        <v>5.3633344563505148</v>
      </c>
      <c r="Z37" s="24">
        <f t="shared" si="8"/>
        <v>2.2501908999999998</v>
      </c>
      <c r="AA37" s="23">
        <f t="shared" si="9"/>
        <v>-7.6366799967322496</v>
      </c>
      <c r="AB37">
        <f t="shared" si="10"/>
        <v>5.3780377730470414</v>
      </c>
      <c r="AC37" s="24">
        <f t="shared" si="11"/>
        <v>2.2436509399999998</v>
      </c>
      <c r="AD37" s="23">
        <f t="shared" si="12"/>
        <v>-7.6484588729051071</v>
      </c>
      <c r="AE37">
        <f t="shared" si="13"/>
        <v>5.3928184386648166</v>
      </c>
      <c r="AF37" s="24">
        <f t="shared" si="14"/>
        <v>2.2371109799999997</v>
      </c>
      <c r="AG37" s="23">
        <f t="shared" si="15"/>
        <v>-7.6601408329084162</v>
      </c>
      <c r="AH37">
        <f t="shared" si="16"/>
        <v>5.4076758210211091</v>
      </c>
      <c r="AI37" s="24">
        <f t="shared" si="17"/>
        <v>2.2305710199999997</v>
      </c>
      <c r="AJ37" s="23">
        <f t="shared" si="18"/>
        <v>-7.6717253770939493</v>
      </c>
      <c r="AK37">
        <f t="shared" si="19"/>
        <v>5.4226092846519425</v>
      </c>
      <c r="AL37" s="24">
        <f t="shared" si="20"/>
        <v>2.2240310599999997</v>
      </c>
      <c r="AM37" s="23">
        <f t="shared" si="21"/>
        <v>-7.6832120099800427</v>
      </c>
      <c r="AN37">
        <f t="shared" si="22"/>
        <v>5.4376181908392738</v>
      </c>
      <c r="AO37" s="24">
        <f t="shared" si="23"/>
        <v>2.2174910999999997</v>
      </c>
      <c r="AP37" s="23">
        <f t="shared" si="24"/>
        <v>-7.6946002402727913</v>
      </c>
      <c r="AQ37">
        <f t="shared" si="25"/>
        <v>5.4527018976383115</v>
      </c>
      <c r="AR37" s="24">
        <f t="shared" si="26"/>
        <v>2.2109511399999997</v>
      </c>
      <c r="AS37" s="23">
        <f t="shared" si="27"/>
        <v>-7.7058895808870576</v>
      </c>
      <c r="AT37">
        <f t="shared" si="28"/>
        <v>5.4678597599049725</v>
      </c>
      <c r="AU37" s="24">
        <f t="shared" si="29"/>
        <v>2.2044111799999997</v>
      </c>
      <c r="AV37" s="23">
        <f t="shared" si="30"/>
        <v>-7.717079548967309</v>
      </c>
      <c r="AW37">
        <f t="shared" si="31"/>
        <v>5.4830911293234772</v>
      </c>
      <c r="AX37" s="24">
        <f t="shared" si="32"/>
        <v>2.1978712199999997</v>
      </c>
      <c r="AY37" s="23">
        <f t="shared" si="33"/>
        <v>-7.7281696659082666</v>
      </c>
      <c r="AZ37">
        <f t="shared" si="34"/>
        <v>5.4983953544340762</v>
      </c>
      <c r="BA37" s="24">
        <f t="shared" si="35"/>
        <v>2.1913312599999997</v>
      </c>
      <c r="BB37" s="23">
        <f t="shared" si="36"/>
        <v>-7.7391594573753775</v>
      </c>
      <c r="BC37">
        <f t="shared" si="37"/>
        <v>5.5137717806609148</v>
      </c>
      <c r="BD37" s="24">
        <f t="shared" si="38"/>
        <v>2.1847912999999997</v>
      </c>
      <c r="BE37" s="23">
        <f t="shared" si="39"/>
        <v>-7.7500484533251024</v>
      </c>
      <c r="BF37">
        <f t="shared" si="40"/>
        <v>5.5292197503400304</v>
      </c>
      <c r="BG37" s="24">
        <f t="shared" si="41"/>
        <v>2.1782513399999996</v>
      </c>
      <c r="BH37" s="23">
        <f t="shared" si="42"/>
        <v>-7.7608361880250198</v>
      </c>
      <c r="BI37">
        <f t="shared" si="43"/>
        <v>5.5447386027474801</v>
      </c>
      <c r="BJ37" s="24">
        <f t="shared" si="44"/>
        <v>2.1717113799999996</v>
      </c>
      <c r="BK37" s="23">
        <f t="shared" si="45"/>
        <v>-7.7715222000737443</v>
      </c>
      <c r="BL37">
        <f t="shared" si="46"/>
        <v>5.5603276741276009</v>
      </c>
      <c r="BM37" s="24">
        <f t="shared" si="47"/>
        <v>2.1651714199999996</v>
      </c>
      <c r="BN37" s="23">
        <f t="shared" si="48"/>
        <v>-7.7821060324206632</v>
      </c>
      <c r="BO37">
        <f t="shared" si="49"/>
        <v>5.5759862977214008</v>
      </c>
      <c r="BP37" s="24">
        <f t="shared" si="50"/>
        <v>2.1586314599999996</v>
      </c>
      <c r="BQ37" s="23">
        <f t="shared" si="51"/>
        <v>-7.7925872323854835</v>
      </c>
      <c r="BR37">
        <f t="shared" si="52"/>
        <v>5.5917138037950744</v>
      </c>
      <c r="BS37" s="24">
        <f t="shared" si="53"/>
        <v>2.1520914999999996</v>
      </c>
      <c r="BT37" s="23">
        <f t="shared" si="54"/>
        <v>-7.802965351677595</v>
      </c>
      <c r="BU37">
        <f t="shared" si="55"/>
        <v>5.6075095196686497</v>
      </c>
      <c r="BV37" s="24">
        <f t="shared" si="56"/>
        <v>2.1455515399999996</v>
      </c>
      <c r="BW37" s="23">
        <f t="shared" si="57"/>
        <v>-7.8132399464152416</v>
      </c>
      <c r="BX37">
        <f t="shared" si="58"/>
        <v>5.6233727697447575</v>
      </c>
      <c r="BY37" s="24">
        <f t="shared" si="59"/>
        <v>2.1390115799999996</v>
      </c>
      <c r="BZ37" s="23">
        <f t="shared" si="60"/>
        <v>-7.823410577144509</v>
      </c>
      <c r="CA37">
        <f t="shared" si="61"/>
        <v>5.6393028755375285</v>
      </c>
      <c r="CB37" s="24">
        <f t="shared" si="62"/>
        <v>2.1324716199999996</v>
      </c>
      <c r="CC37" s="23">
        <f t="shared" si="63"/>
        <v>-7.833476808858121</v>
      </c>
      <c r="CD37">
        <f t="shared" si="64"/>
        <v>5.6552991557016128</v>
      </c>
      <c r="CE37" s="24">
        <f t="shared" si="65"/>
        <v>2.1259316599999996</v>
      </c>
      <c r="CF37" s="23">
        <f t="shared" si="66"/>
        <v>-7.8434382110140408</v>
      </c>
      <c r="CG37">
        <f t="shared" si="67"/>
        <v>5.6713609260613218</v>
      </c>
      <c r="CH37" s="24">
        <f t="shared" si="68"/>
        <v>2.1193916999999995</v>
      </c>
      <c r="CI37" s="23">
        <f t="shared" si="69"/>
        <v>-7.8532943575538914</v>
      </c>
      <c r="CJ37">
        <f t="shared" si="70"/>
        <v>5.6874874996398903</v>
      </c>
      <c r="CK37" s="24">
        <f t="shared" si="71"/>
        <v>2.1128517399999995</v>
      </c>
      <c r="CL37" s="23">
        <f t="shared" si="72"/>
        <v>-7.8630448269211746</v>
      </c>
      <c r="CM37">
        <f t="shared" si="73"/>
        <v>5.70367818668886</v>
      </c>
      <c r="CN37" s="24">
        <f t="shared" si="74"/>
        <v>2.1063117799999995</v>
      </c>
      <c r="CO37" s="23">
        <f t="shared" si="75"/>
        <v>-7.872689202079302</v>
      </c>
      <c r="CP37">
        <f t="shared" si="76"/>
        <v>5.7199322947175801</v>
      </c>
      <c r="CQ37" s="24">
        <f t="shared" si="77"/>
        <v>2.0997718199999995</v>
      </c>
      <c r="CR37" s="23">
        <f t="shared" si="78"/>
        <v>-7.8822270705294342</v>
      </c>
      <c r="CS37">
        <f t="shared" si="79"/>
        <v>5.7362491285228252</v>
      </c>
      <c r="CT37" s="24">
        <f t="shared" si="80"/>
        <v>2.0932318599999995</v>
      </c>
      <c r="CU37" s="23">
        <f t="shared" si="81"/>
        <v>-7.8916580243281205</v>
      </c>
      <c r="CV37">
        <f t="shared" si="82"/>
        <v>5.7526279902185307</v>
      </c>
      <c r="CW37" s="24">
        <f t="shared" si="83"/>
        <v>2.0866918999999995</v>
      </c>
      <c r="CY37" s="8">
        <f t="shared" si="129"/>
        <v>1.3636785191476435</v>
      </c>
      <c r="CZ37" s="8">
        <f t="shared" si="92"/>
        <v>1.3726767966971063</v>
      </c>
      <c r="DA37" s="8">
        <f t="shared" si="93"/>
        <v>1.3819824109196654</v>
      </c>
      <c r="DB37" s="8">
        <f t="shared" si="94"/>
        <v>1.3915888023786598</v>
      </c>
      <c r="DC37" s="8">
        <f t="shared" si="95"/>
        <v>1.4014893795689924</v>
      </c>
      <c r="DD37" s="8">
        <f t="shared" si="96"/>
        <v>1.411677533914987</v>
      </c>
      <c r="DE37" s="8">
        <f t="shared" si="97"/>
        <v>1.4221466538989489</v>
      </c>
      <c r="DF37" s="8">
        <f t="shared" si="98"/>
        <v>1.4328901383005936</v>
      </c>
      <c r="DG37" s="8">
        <f t="shared" si="99"/>
        <v>1.443901408537037</v>
      </c>
      <c r="DH37" s="8">
        <f t="shared" si="100"/>
        <v>1.4551739201017586</v>
      </c>
      <c r="DI37" s="8">
        <f t="shared" si="101"/>
        <v>1.4667011731087236</v>
      </c>
      <c r="DJ37" s="8">
        <f t="shared" si="102"/>
        <v>1.4784767219547359</v>
      </c>
      <c r="DK37" s="8">
        <f t="shared" si="103"/>
        <v>1.4904941841190635</v>
      </c>
      <c r="DL37" s="8">
        <f t="shared" si="104"/>
        <v>1.5027472481244799</v>
      </c>
      <c r="DM37" s="8">
        <f t="shared" si="105"/>
        <v>1.5152296806881218</v>
      </c>
      <c r="DN37" s="8">
        <f t="shared" si="106"/>
        <v>1.5279353330940395</v>
      </c>
      <c r="DO37">
        <f t="shared" si="107"/>
        <v>1.5408581468220319</v>
      </c>
      <c r="DP37" s="8">
        <f t="shared" si="108"/>
        <v>1.5539921584694316</v>
      </c>
      <c r="DQ37">
        <f t="shared" si="109"/>
        <v>1.5673315040039189</v>
      </c>
      <c r="DR37" s="8">
        <f t="shared" si="110"/>
        <v>1.5808704223863466</v>
      </c>
      <c r="DS37">
        <f t="shared" si="111"/>
        <v>1.5946032586029439</v>
      </c>
      <c r="DT37" s="8">
        <f t="shared" si="112"/>
        <v>1.6085244661462323</v>
      </c>
      <c r="DU37">
        <f t="shared" si="113"/>
        <v>1.6226286089835904</v>
      </c>
      <c r="DV37" s="8">
        <f t="shared" si="114"/>
        <v>1.6369103630516837</v>
      </c>
      <c r="DW37">
        <f t="shared" si="115"/>
        <v>1.6513645173139995</v>
      </c>
      <c r="DX37" s="8">
        <f t="shared" si="116"/>
        <v>1.66598597441753</v>
      </c>
      <c r="DY37">
        <f t="shared" si="117"/>
        <v>1.6807697509833019</v>
      </c>
      <c r="DZ37" s="8">
        <f t="shared" si="118"/>
        <v>1.6957109775639372</v>
      </c>
      <c r="EA37">
        <f t="shared" si="119"/>
        <v>1.7108048982998592</v>
      </c>
      <c r="EB37" s="8">
        <f t="shared" si="120"/>
        <v>1.7260468703041021</v>
      </c>
      <c r="EC37">
        <f t="shared" si="121"/>
        <v>1.3636785191476435</v>
      </c>
      <c r="ED37" s="8">
        <f t="shared" si="122"/>
        <v>1.7260468703041021</v>
      </c>
      <c r="EF37" s="23">
        <f t="shared" si="123"/>
        <v>0.45462472255684272</v>
      </c>
      <c r="EG37" s="8">
        <f t="shared" si="84"/>
        <v>2.4546213344657581</v>
      </c>
      <c r="EH37">
        <f t="shared" si="124"/>
        <v>1.0665</v>
      </c>
      <c r="EI37" s="8">
        <f t="shared" si="125"/>
        <v>3.9757460570226009</v>
      </c>
    </row>
    <row r="38" spans="3:139" x14ac:dyDescent="0.3">
      <c r="G38" s="10"/>
      <c r="H38" s="10"/>
      <c r="I38" s="6">
        <v>20</v>
      </c>
      <c r="J38" s="6">
        <f t="shared" si="85"/>
        <v>0.189</v>
      </c>
      <c r="K38" s="6">
        <f t="shared" si="128"/>
        <v>-1.3039699999999974E-2</v>
      </c>
      <c r="L38" s="23">
        <f t="shared" si="130"/>
        <v>-7.576349649964687</v>
      </c>
      <c r="M38">
        <f t="shared" si="87"/>
        <v>5.305307206077698</v>
      </c>
      <c r="N38" s="24">
        <f t="shared" si="88"/>
        <v>2.2815867299999999</v>
      </c>
      <c r="O38" s="23">
        <f t="shared" si="89"/>
        <v>-7.5886806332678649</v>
      </c>
      <c r="P38">
        <f t="shared" si="90"/>
        <v>5.319630503560357</v>
      </c>
      <c r="Q38" s="24">
        <f t="shared" si="91"/>
        <v>2.28028276</v>
      </c>
      <c r="R38" s="23">
        <f t="shared" si="0"/>
        <v>-7.6009929289427003</v>
      </c>
      <c r="S38">
        <f t="shared" si="1"/>
        <v>5.3339698680935372</v>
      </c>
      <c r="T38" s="24">
        <f t="shared" si="2"/>
        <v>2.27897879</v>
      </c>
      <c r="U38" s="23">
        <f t="shared" si="3"/>
        <v>-7.6132865160541359</v>
      </c>
      <c r="V38">
        <f t="shared" si="4"/>
        <v>5.3483252752954789</v>
      </c>
      <c r="W38" s="24">
        <f t="shared" si="5"/>
        <v>2.2776748200000001</v>
      </c>
      <c r="X38" s="23">
        <f t="shared" si="6"/>
        <v>-7.6255613736989227</v>
      </c>
      <c r="Y38">
        <f t="shared" si="7"/>
        <v>5.3626967007571444</v>
      </c>
      <c r="Z38" s="24">
        <f t="shared" si="8"/>
        <v>2.2763708500000002</v>
      </c>
      <c r="AA38" s="23">
        <f t="shared" si="9"/>
        <v>-7.6378174810056612</v>
      </c>
      <c r="AB38">
        <f t="shared" si="10"/>
        <v>5.3770841200422606</v>
      </c>
      <c r="AC38" s="24">
        <f t="shared" si="11"/>
        <v>2.2750668800000002</v>
      </c>
      <c r="AD38" s="23">
        <f t="shared" si="12"/>
        <v>-7.6500548171348308</v>
      </c>
      <c r="AE38">
        <f t="shared" si="13"/>
        <v>5.3914875086873577</v>
      </c>
      <c r="AF38" s="24">
        <f t="shared" si="14"/>
        <v>2.2737629100000003</v>
      </c>
      <c r="AG38" s="23">
        <f t="shared" si="15"/>
        <v>-7.6622733612788307</v>
      </c>
      <c r="AH38">
        <f t="shared" si="16"/>
        <v>5.4059068422018139</v>
      </c>
      <c r="AI38" s="24">
        <f t="shared" si="17"/>
        <v>2.2724589400000004</v>
      </c>
      <c r="AJ38" s="23">
        <f t="shared" si="18"/>
        <v>-7.6744730926620122</v>
      </c>
      <c r="AK38">
        <f t="shared" si="19"/>
        <v>5.4203420960678956</v>
      </c>
      <c r="AL38" s="24">
        <f t="shared" si="20"/>
        <v>2.2711549700000004</v>
      </c>
      <c r="AM38" s="23">
        <f t="shared" si="21"/>
        <v>-7.6866539905407132</v>
      </c>
      <c r="AN38">
        <f t="shared" si="22"/>
        <v>5.4347932457407993</v>
      </c>
      <c r="AO38" s="24">
        <f t="shared" si="23"/>
        <v>2.2698510000000005</v>
      </c>
      <c r="AP38" s="23">
        <f t="shared" si="24"/>
        <v>-7.698816034203297</v>
      </c>
      <c r="AQ38">
        <f t="shared" si="25"/>
        <v>5.4492602666486922</v>
      </c>
      <c r="AR38" s="24">
        <f t="shared" si="26"/>
        <v>2.2685470300000006</v>
      </c>
      <c r="AS38" s="23">
        <f t="shared" si="27"/>
        <v>-7.7109592029701837</v>
      </c>
      <c r="AT38">
        <f t="shared" si="28"/>
        <v>5.4637431341927565</v>
      </c>
      <c r="AU38" s="24">
        <f t="shared" si="29"/>
        <v>2.2672430600000006</v>
      </c>
      <c r="AV38" s="23">
        <f t="shared" si="30"/>
        <v>-7.7230834761938878</v>
      </c>
      <c r="AW38">
        <f t="shared" si="31"/>
        <v>5.4782418237472292</v>
      </c>
      <c r="AX38" s="24">
        <f t="shared" si="32"/>
        <v>2.2659390900000007</v>
      </c>
      <c r="AY38" s="23">
        <f t="shared" si="33"/>
        <v>-7.7351888332590528</v>
      </c>
      <c r="AZ38">
        <f t="shared" si="34"/>
        <v>5.4927563106594439</v>
      </c>
      <c r="BA38" s="24">
        <f t="shared" si="35"/>
        <v>2.2646351200000008</v>
      </c>
      <c r="BB38" s="23">
        <f t="shared" si="36"/>
        <v>-7.7472752535824867</v>
      </c>
      <c r="BC38">
        <f t="shared" si="37"/>
        <v>5.5072865702498746</v>
      </c>
      <c r="BD38" s="24">
        <f t="shared" si="38"/>
        <v>2.2633311500000008</v>
      </c>
      <c r="BE38" s="23">
        <f t="shared" si="39"/>
        <v>-7.7593427166131947</v>
      </c>
      <c r="BF38">
        <f t="shared" si="40"/>
        <v>5.5218325778121748</v>
      </c>
      <c r="BG38" s="24">
        <f t="shared" si="41"/>
        <v>2.2620271800000009</v>
      </c>
      <c r="BH38" s="23">
        <f t="shared" si="42"/>
        <v>-7.7713912018324169</v>
      </c>
      <c r="BI38">
        <f t="shared" si="43"/>
        <v>5.5363943086132226</v>
      </c>
      <c r="BJ38" s="24">
        <f t="shared" si="44"/>
        <v>2.260723210000001</v>
      </c>
      <c r="BK38" s="23">
        <f t="shared" si="45"/>
        <v>-7.7834206887536617</v>
      </c>
      <c r="BL38">
        <f t="shared" si="46"/>
        <v>5.5509717378931613</v>
      </c>
      <c r="BM38" s="24">
        <f t="shared" si="47"/>
        <v>2.2594192400000011</v>
      </c>
      <c r="BN38" s="23">
        <f t="shared" si="48"/>
        <v>-7.7954311569227412</v>
      </c>
      <c r="BO38">
        <f t="shared" si="49"/>
        <v>5.5655648408654406</v>
      </c>
      <c r="BP38" s="24">
        <f t="shared" si="50"/>
        <v>2.2581152700000011</v>
      </c>
      <c r="BQ38" s="23">
        <f t="shared" si="51"/>
        <v>-7.8074225859178057</v>
      </c>
      <c r="BR38">
        <f t="shared" si="52"/>
        <v>5.580173592716859</v>
      </c>
      <c r="BS38" s="24">
        <f t="shared" si="53"/>
        <v>2.2568113000000012</v>
      </c>
      <c r="BT38" s="23">
        <f t="shared" si="54"/>
        <v>-7.8193949553493782</v>
      </c>
      <c r="BU38">
        <f t="shared" si="55"/>
        <v>5.594797968607609</v>
      </c>
      <c r="BV38" s="24">
        <f t="shared" si="56"/>
        <v>2.2555073300000013</v>
      </c>
      <c r="BW38" s="23">
        <f t="shared" si="57"/>
        <v>-7.8313482448603899</v>
      </c>
      <c r="BX38">
        <f t="shared" si="58"/>
        <v>5.6094379436713151</v>
      </c>
      <c r="BY38" s="24">
        <f t="shared" si="59"/>
        <v>2.2542033600000013</v>
      </c>
      <c r="BZ38" s="23">
        <f t="shared" si="60"/>
        <v>-7.8432824341262144</v>
      </c>
      <c r="CA38">
        <f t="shared" si="61"/>
        <v>5.6240934930150779</v>
      </c>
      <c r="CB38" s="24">
        <f t="shared" si="62"/>
        <v>2.2528993900000014</v>
      </c>
      <c r="CC38" s="23">
        <f t="shared" si="63"/>
        <v>-7.8551975028547023</v>
      </c>
      <c r="CD38">
        <f t="shared" si="64"/>
        <v>5.638764591719517</v>
      </c>
      <c r="CE38" s="24">
        <f t="shared" si="65"/>
        <v>2.2515954200000015</v>
      </c>
      <c r="CF38" s="23">
        <f t="shared" si="66"/>
        <v>-7.8670934307862153</v>
      </c>
      <c r="CG38">
        <f t="shared" si="67"/>
        <v>5.6534512148388139</v>
      </c>
      <c r="CH38" s="24">
        <f t="shared" si="68"/>
        <v>2.2502914500000015</v>
      </c>
      <c r="CI38" s="23">
        <f t="shared" si="69"/>
        <v>-7.8789701976936595</v>
      </c>
      <c r="CJ38">
        <f t="shared" si="70"/>
        <v>5.6681533374007511</v>
      </c>
      <c r="CK38" s="24">
        <f t="shared" si="71"/>
        <v>2.2489874800000016</v>
      </c>
      <c r="CL38" s="23">
        <f t="shared" si="72"/>
        <v>-7.890827783382524</v>
      </c>
      <c r="CM38">
        <f t="shared" si="73"/>
        <v>5.6828709344067585</v>
      </c>
      <c r="CN38" s="24">
        <f t="shared" si="74"/>
        <v>2.2476835100000017</v>
      </c>
      <c r="CO38" s="23">
        <f t="shared" si="75"/>
        <v>-7.90266616769091</v>
      </c>
      <c r="CP38">
        <f t="shared" si="76"/>
        <v>5.6976039808319543</v>
      </c>
      <c r="CQ38" s="24">
        <f t="shared" si="77"/>
        <v>2.2463795400000017</v>
      </c>
      <c r="CR38" s="23">
        <f t="shared" si="78"/>
        <v>-7.914485330489569</v>
      </c>
      <c r="CS38">
        <f t="shared" si="79"/>
        <v>5.7123524516251862</v>
      </c>
      <c r="CT38" s="24">
        <f t="shared" si="80"/>
        <v>2.2450755700000018</v>
      </c>
      <c r="CU38" s="23">
        <f t="shared" si="81"/>
        <v>-7.9262852516819349</v>
      </c>
      <c r="CV38">
        <f t="shared" si="82"/>
        <v>5.7271163217090759</v>
      </c>
      <c r="CW38" s="24">
        <f t="shared" si="83"/>
        <v>2.2437716000000019</v>
      </c>
      <c r="CY38" s="8">
        <f t="shared" si="129"/>
        <v>1.3636785191476435</v>
      </c>
      <c r="CZ38" s="8">
        <f t="shared" si="92"/>
        <v>1.3725899357228348</v>
      </c>
      <c r="DA38" s="8">
        <f t="shared" si="93"/>
        <v>1.3817239326752795</v>
      </c>
      <c r="DB38" s="8">
        <f t="shared" si="94"/>
        <v>1.3910761101564033</v>
      </c>
      <c r="DC38" s="8">
        <f t="shared" si="95"/>
        <v>1.4006420820165419</v>
      </c>
      <c r="DD38" s="8">
        <f t="shared" si="96"/>
        <v>1.4104174820678343</v>
      </c>
      <c r="DE38" s="8">
        <f t="shared" si="97"/>
        <v>1.4203979699171323</v>
      </c>
      <c r="DF38" s="8">
        <f t="shared" si="98"/>
        <v>1.4305792363733498</v>
      </c>
      <c r="DG38" s="8">
        <f t="shared" si="99"/>
        <v>1.4409570084361161</v>
      </c>
      <c r="DH38" s="8">
        <f t="shared" si="100"/>
        <v>1.4515270538747171</v>
      </c>
      <c r="DI38" s="8">
        <f t="shared" si="101"/>
        <v>1.4622851854081433</v>
      </c>
      <c r="DJ38" s="8">
        <f t="shared" si="102"/>
        <v>1.4732272644986322</v>
      </c>
      <c r="DK38" s="8">
        <f t="shared" si="103"/>
        <v>1.4843492047723548</v>
      </c>
      <c r="DL38" s="8">
        <f t="shared" si="104"/>
        <v>1.4956469750819679</v>
      </c>
      <c r="DM38" s="8">
        <f t="shared" si="105"/>
        <v>1.5071166022265454</v>
      </c>
      <c r="DN38" s="8">
        <f t="shared" si="106"/>
        <v>1.5187541733449983</v>
      </c>
      <c r="DO38">
        <f t="shared" si="107"/>
        <v>1.5305558379995179</v>
      </c>
      <c r="DP38" s="8">
        <f t="shared" si="108"/>
        <v>1.5425178099657804</v>
      </c>
      <c r="DQ38">
        <f t="shared" si="109"/>
        <v>1.5546363687467457</v>
      </c>
      <c r="DR38" s="8">
        <f t="shared" si="110"/>
        <v>1.5669078608268194</v>
      </c>
      <c r="DS38">
        <f t="shared" si="111"/>
        <v>1.5793287006829608</v>
      </c>
      <c r="DT38" s="8">
        <f t="shared" si="112"/>
        <v>1.5918953715690283</v>
      </c>
      <c r="DU38">
        <f t="shared" si="113"/>
        <v>1.6046044260893038</v>
      </c>
      <c r="DV38" s="8">
        <f t="shared" si="114"/>
        <v>1.6174524865766697</v>
      </c>
      <c r="DW38">
        <f t="shared" si="115"/>
        <v>1.6304362452904191</v>
      </c>
      <c r="DX38" s="8">
        <f t="shared" si="116"/>
        <v>1.6435524644481192</v>
      </c>
      <c r="DY38">
        <f t="shared" si="117"/>
        <v>1.6567979761053715</v>
      </c>
      <c r="DZ38" s="8">
        <f t="shared" si="118"/>
        <v>1.6701696818966822</v>
      </c>
      <c r="EA38">
        <f t="shared" si="119"/>
        <v>1.6836645526500227</v>
      </c>
      <c r="EB38" s="8">
        <f t="shared" si="120"/>
        <v>1.6972796278870308</v>
      </c>
      <c r="EC38">
        <f t="shared" si="121"/>
        <v>1.3636785191476435</v>
      </c>
      <c r="ED38" s="8">
        <f t="shared" si="122"/>
        <v>1.6972796278870308</v>
      </c>
      <c r="EF38" s="23">
        <f t="shared" si="123"/>
        <v>0.29636255674554546</v>
      </c>
      <c r="EG38" s="8">
        <f t="shared" si="84"/>
        <v>2.4546213344657581</v>
      </c>
      <c r="EH38">
        <f t="shared" si="124"/>
        <v>1.0665</v>
      </c>
      <c r="EI38" s="8">
        <f t="shared" si="125"/>
        <v>3.8174838912113036</v>
      </c>
    </row>
    <row r="39" spans="3:139" x14ac:dyDescent="0.3">
      <c r="G39" s="10"/>
      <c r="H39" s="10"/>
      <c r="I39" s="6">
        <v>21</v>
      </c>
      <c r="J39" s="6">
        <f t="shared" si="85"/>
        <v>0.189</v>
      </c>
      <c r="K39" s="6">
        <f t="shared" si="128"/>
        <v>3.9320200000000027E-2</v>
      </c>
      <c r="L39" s="23">
        <f t="shared" si="130"/>
        <v>-7.576349649964687</v>
      </c>
      <c r="M39">
        <f t="shared" si="87"/>
        <v>5.305307206077698</v>
      </c>
      <c r="N39" s="24">
        <f t="shared" si="88"/>
        <v>2.28682272</v>
      </c>
      <c r="O39" s="23">
        <f t="shared" si="89"/>
        <v>-7.5887554605373593</v>
      </c>
      <c r="P39">
        <f t="shared" si="90"/>
        <v>5.3195657426097185</v>
      </c>
      <c r="Q39" s="24">
        <f t="shared" si="91"/>
        <v>2.2907547400000001</v>
      </c>
      <c r="R39" s="23">
        <f t="shared" si="0"/>
        <v>-7.6012172399147406</v>
      </c>
      <c r="S39">
        <f t="shared" si="1"/>
        <v>5.333775389148232</v>
      </c>
      <c r="T39" s="24">
        <f t="shared" si="2"/>
        <v>2.2946867600000003</v>
      </c>
      <c r="U39" s="23">
        <f t="shared" si="3"/>
        <v>-7.6137347954282335</v>
      </c>
      <c r="V39">
        <f t="shared" si="4"/>
        <v>5.3479359260012833</v>
      </c>
      <c r="W39" s="24">
        <f t="shared" si="5"/>
        <v>2.2986187800000004</v>
      </c>
      <c r="X39" s="23">
        <f t="shared" si="6"/>
        <v>-7.6263079335468991</v>
      </c>
      <c r="Y39">
        <f t="shared" si="7"/>
        <v>5.3620471342361924</v>
      </c>
      <c r="Z39" s="24">
        <f t="shared" si="8"/>
        <v>2.3025508000000006</v>
      </c>
      <c r="AA39" s="23">
        <f t="shared" si="9"/>
        <v>-7.6389364598804494</v>
      </c>
      <c r="AB39">
        <f t="shared" si="10"/>
        <v>5.3761087956829359</v>
      </c>
      <c r="AC39" s="24">
        <f t="shared" si="11"/>
        <v>2.3064828200000007</v>
      </c>
      <c r="AD39" s="23">
        <f t="shared" si="12"/>
        <v>-7.6516201791822525</v>
      </c>
      <c r="AE39">
        <f t="shared" si="13"/>
        <v>5.3901206929375212</v>
      </c>
      <c r="AF39" s="24">
        <f t="shared" si="14"/>
        <v>2.3104148400000009</v>
      </c>
      <c r="AG39" s="23">
        <f t="shared" si="15"/>
        <v>-7.6643588953523514</v>
      </c>
      <c r="AH39">
        <f t="shared" si="16"/>
        <v>5.4040826093653491</v>
      </c>
      <c r="AI39" s="24">
        <f t="shared" si="17"/>
        <v>2.314346860000001</v>
      </c>
      <c r="AJ39" s="23">
        <f t="shared" si="18"/>
        <v>-7.6771524114404954</v>
      </c>
      <c r="AK39">
        <f t="shared" si="19"/>
        <v>5.4179943291045616</v>
      </c>
      <c r="AL39" s="24">
        <f t="shared" si="20"/>
        <v>2.3182788800000012</v>
      </c>
      <c r="AM39" s="23">
        <f t="shared" si="21"/>
        <v>-7.6900005296491853</v>
      </c>
      <c r="AN39">
        <f t="shared" si="22"/>
        <v>5.43185563706938</v>
      </c>
      <c r="AO39" s="24">
        <f t="shared" si="23"/>
        <v>2.3222109000000013</v>
      </c>
      <c r="AP39" s="23">
        <f t="shared" si="24"/>
        <v>-7.7029030513367314</v>
      </c>
      <c r="AQ39">
        <f t="shared" si="25"/>
        <v>5.4456663189534291</v>
      </c>
      <c r="AR39" s="24">
        <f t="shared" si="26"/>
        <v>2.3261429200000014</v>
      </c>
      <c r="AS39" s="23">
        <f t="shared" si="27"/>
        <v>-7.7158597770203246</v>
      </c>
      <c r="AT39">
        <f t="shared" si="28"/>
        <v>5.4594261612330524</v>
      </c>
      <c r="AU39" s="24">
        <f t="shared" si="29"/>
        <v>2.3300749400000016</v>
      </c>
      <c r="AV39" s="23">
        <f t="shared" si="30"/>
        <v>-7.7288705063791214</v>
      </c>
      <c r="AW39">
        <f t="shared" si="31"/>
        <v>5.4731349511706124</v>
      </c>
      <c r="AX39" s="24">
        <f t="shared" si="32"/>
        <v>2.3340069600000017</v>
      </c>
      <c r="AY39" s="23">
        <f t="shared" si="33"/>
        <v>-7.7419350382573402</v>
      </c>
      <c r="AZ39">
        <f t="shared" si="34"/>
        <v>5.4867924768177794</v>
      </c>
      <c r="BA39" s="24">
        <f t="shared" si="35"/>
        <v>2.3379389800000019</v>
      </c>
      <c r="BB39" s="23">
        <f t="shared" si="36"/>
        <v>-7.7550531706673711</v>
      </c>
      <c r="BC39">
        <f t="shared" si="37"/>
        <v>5.5003985270188078</v>
      </c>
      <c r="BD39" s="24">
        <f t="shared" si="38"/>
        <v>2.341871000000002</v>
      </c>
      <c r="BE39" s="23">
        <f t="shared" si="39"/>
        <v>-7.7682247007928993</v>
      </c>
      <c r="BF39">
        <f t="shared" si="40"/>
        <v>5.513952891413803</v>
      </c>
      <c r="BG39" s="24">
        <f t="shared" si="41"/>
        <v>2.3458030200000022</v>
      </c>
      <c r="BH39" s="23">
        <f t="shared" si="42"/>
        <v>-7.781449424992041</v>
      </c>
      <c r="BI39">
        <f t="shared" si="43"/>
        <v>5.5274553604419712</v>
      </c>
      <c r="BJ39" s="24">
        <f t="shared" si="44"/>
        <v>2.3497350400000023</v>
      </c>
      <c r="BK39" s="23">
        <f t="shared" si="45"/>
        <v>-7.7947271388004911</v>
      </c>
      <c r="BL39">
        <f t="shared" si="46"/>
        <v>5.540905725344861</v>
      </c>
      <c r="BM39" s="24">
        <f t="shared" si="47"/>
        <v>2.3536670600000025</v>
      </c>
      <c r="BN39" s="23">
        <f t="shared" si="48"/>
        <v>-7.8080576369346852</v>
      </c>
      <c r="BO39">
        <f t="shared" si="49"/>
        <v>5.554303778169591</v>
      </c>
      <c r="BP39" s="24">
        <f t="shared" si="50"/>
        <v>2.3575990800000026</v>
      </c>
      <c r="BQ39" s="23">
        <f t="shared" si="51"/>
        <v>-7.8214407132949733</v>
      </c>
      <c r="BR39">
        <f t="shared" si="52"/>
        <v>5.5676493117720627</v>
      </c>
      <c r="BS39" s="24">
        <f t="shared" si="53"/>
        <v>2.3615311000000028</v>
      </c>
      <c r="BT39" s="23">
        <f t="shared" si="54"/>
        <v>-7.8348761609688049</v>
      </c>
      <c r="BU39">
        <f t="shared" si="55"/>
        <v>5.5809421198201665</v>
      </c>
      <c r="BV39" s="24">
        <f t="shared" si="56"/>
        <v>2.3654631200000029</v>
      </c>
      <c r="BW39" s="23">
        <f t="shared" si="57"/>
        <v>-7.8483637722339292</v>
      </c>
      <c r="BX39">
        <f t="shared" si="58"/>
        <v>5.5941819967969701</v>
      </c>
      <c r="BY39" s="24">
        <f t="shared" si="59"/>
        <v>2.3693951400000031</v>
      </c>
      <c r="BZ39" s="23">
        <f t="shared" si="60"/>
        <v>-7.8619033385616079</v>
      </c>
      <c r="CA39">
        <f t="shared" si="61"/>
        <v>5.6073687380038946</v>
      </c>
      <c r="CB39" s="24">
        <f t="shared" si="62"/>
        <v>2.3733271600000032</v>
      </c>
      <c r="CC39" s="23">
        <f t="shared" si="63"/>
        <v>-7.8754946506198369</v>
      </c>
      <c r="CD39">
        <f t="shared" si="64"/>
        <v>5.6205021395638806</v>
      </c>
      <c r="CE39" s="24">
        <f t="shared" si="65"/>
        <v>2.3772591800000034</v>
      </c>
      <c r="CF39" s="23">
        <f t="shared" si="66"/>
        <v>-7.8891374982765843</v>
      </c>
      <c r="CG39">
        <f t="shared" si="67"/>
        <v>5.6335819984245408</v>
      </c>
      <c r="CH39" s="24">
        <f t="shared" si="68"/>
        <v>2.3811912000000035</v>
      </c>
      <c r="CI39" s="23">
        <f t="shared" si="69"/>
        <v>-7.902831670603037</v>
      </c>
      <c r="CJ39">
        <f t="shared" si="70"/>
        <v>5.6466081123612986</v>
      </c>
      <c r="CK39" s="24">
        <f t="shared" si="71"/>
        <v>2.3851232200000037</v>
      </c>
      <c r="CL39" s="23">
        <f t="shared" si="72"/>
        <v>-7.9165769558768657</v>
      </c>
      <c r="CM39">
        <f t="shared" si="73"/>
        <v>5.6595802799805153</v>
      </c>
      <c r="CN39" s="24">
        <f t="shared" si="74"/>
        <v>2.3890552400000038</v>
      </c>
      <c r="CO39" s="23">
        <f t="shared" si="75"/>
        <v>-7.9303731415854948</v>
      </c>
      <c r="CP39">
        <f t="shared" si="76"/>
        <v>5.6724983007226033</v>
      </c>
      <c r="CQ39" s="24">
        <f t="shared" si="77"/>
        <v>2.3929872600000039</v>
      </c>
      <c r="CR39" s="23">
        <f t="shared" si="78"/>
        <v>-7.9442200144293889</v>
      </c>
      <c r="CS39">
        <f t="shared" si="79"/>
        <v>5.6853619748651267</v>
      </c>
      <c r="CT39" s="24">
        <f t="shared" si="80"/>
        <v>2.3969192800000041</v>
      </c>
      <c r="CU39" s="23">
        <f t="shared" si="81"/>
        <v>-7.9581173603253523</v>
      </c>
      <c r="CV39">
        <f t="shared" si="82"/>
        <v>5.6981711035258886</v>
      </c>
      <c r="CW39" s="24">
        <f t="shared" si="83"/>
        <v>2.4008513000000042</v>
      </c>
      <c r="CY39" s="8">
        <f t="shared" si="129"/>
        <v>1.3636785191476435</v>
      </c>
      <c r="CZ39" s="8">
        <f t="shared" si="92"/>
        <v>1.3725028292854924</v>
      </c>
      <c r="DA39" s="8">
        <f t="shared" si="93"/>
        <v>1.3814642045804815</v>
      </c>
      <c r="DB39" s="8">
        <f t="shared" si="94"/>
        <v>1.3905598579151295</v>
      </c>
      <c r="DC39" s="8">
        <f t="shared" si="95"/>
        <v>1.3997870324810406</v>
      </c>
      <c r="DD39" s="8">
        <f t="shared" si="96"/>
        <v>1.4091430034031607</v>
      </c>
      <c r="DE39" s="8">
        <f t="shared" si="97"/>
        <v>1.4186250792038051</v>
      </c>
      <c r="DF39" s="8">
        <f t="shared" si="98"/>
        <v>1.4282306031130723</v>
      </c>
      <c r="DG39" s="8">
        <f t="shared" si="99"/>
        <v>1.4379569542324244</v>
      </c>
      <c r="DH39" s="8">
        <f t="shared" si="100"/>
        <v>1.4478015485583271</v>
      </c>
      <c r="DI39" s="8">
        <f t="shared" si="101"/>
        <v>1.4577618398728833</v>
      </c>
      <c r="DJ39" s="8">
        <f t="shared" si="102"/>
        <v>1.4678353205084094</v>
      </c>
      <c r="DK39" s="8">
        <f t="shared" si="103"/>
        <v>1.4780195219928507</v>
      </c>
      <c r="DL39" s="8">
        <f t="shared" si="104"/>
        <v>1.4883120155828717</v>
      </c>
      <c r="DM39" s="8">
        <f t="shared" si="105"/>
        <v>1.4987104126913391</v>
      </c>
      <c r="DN39" s="8">
        <f t="shared" si="106"/>
        <v>1.5092123652157821</v>
      </c>
      <c r="DO39">
        <f t="shared" si="107"/>
        <v>1.5198155657742523</v>
      </c>
      <c r="DP39" s="8">
        <f t="shared" si="108"/>
        <v>1.5305177478548286</v>
      </c>
      <c r="DQ39">
        <f t="shared" si="109"/>
        <v>1.5413166858848126</v>
      </c>
      <c r="DR39" s="8">
        <f t="shared" si="110"/>
        <v>1.5522101952254428</v>
      </c>
      <c r="DS39">
        <f t="shared" si="111"/>
        <v>1.5631961320977577</v>
      </c>
      <c r="DT39" s="8">
        <f t="shared" si="112"/>
        <v>1.5742723934449767</v>
      </c>
      <c r="DU39">
        <f t="shared" si="113"/>
        <v>1.585436916736559</v>
      </c>
      <c r="DV39" s="8">
        <f t="shared" si="114"/>
        <v>1.5966876797188627</v>
      </c>
      <c r="DW39">
        <f t="shared" si="115"/>
        <v>1.6080227001170713</v>
      </c>
      <c r="DX39" s="8">
        <f t="shared" si="116"/>
        <v>1.6194400352928386</v>
      </c>
      <c r="DY39">
        <f t="shared" si="117"/>
        <v>1.6309377818618538</v>
      </c>
      <c r="DZ39" s="8">
        <f t="shared" si="118"/>
        <v>1.6425140752753051</v>
      </c>
      <c r="EA39">
        <f t="shared" si="119"/>
        <v>1.6541670893689873</v>
      </c>
      <c r="EB39" s="8">
        <f t="shared" si="120"/>
        <v>1.6658950358835871</v>
      </c>
      <c r="EC39">
        <f t="shared" si="121"/>
        <v>1.3636785191476435</v>
      </c>
      <c r="ED39" s="8">
        <f t="shared" si="122"/>
        <v>1.6658950358835871</v>
      </c>
      <c r="EF39" s="23">
        <f t="shared" si="123"/>
        <v>0.13806317667765589</v>
      </c>
      <c r="EG39" s="8">
        <f t="shared" si="84"/>
        <v>2.4546213344657581</v>
      </c>
      <c r="EH39">
        <f t="shared" si="124"/>
        <v>1.0665</v>
      </c>
      <c r="EI39" s="8">
        <f t="shared" si="125"/>
        <v>3.659184511143414</v>
      </c>
    </row>
    <row r="40" spans="3:139" x14ac:dyDescent="0.3">
      <c r="G40" s="10"/>
      <c r="H40" s="10"/>
      <c r="I40" s="6">
        <v>22</v>
      </c>
      <c r="J40" s="6">
        <f t="shared" si="85"/>
        <v>0.189</v>
      </c>
      <c r="K40" s="6">
        <f t="shared" si="128"/>
        <v>9.1680100000000028E-2</v>
      </c>
      <c r="L40" s="23">
        <f t="shared" si="130"/>
        <v>-7.576349649964687</v>
      </c>
      <c r="M40">
        <f t="shared" si="87"/>
        <v>5.305307206077698</v>
      </c>
      <c r="N40" s="24">
        <f t="shared" si="88"/>
        <v>2.2920587099999996</v>
      </c>
      <c r="O40" s="23">
        <f t="shared" si="89"/>
        <v>-7.5888299476949985</v>
      </c>
      <c r="P40">
        <f t="shared" si="90"/>
        <v>5.3195005907537638</v>
      </c>
      <c r="Q40" s="24">
        <f t="shared" si="91"/>
        <v>2.3012267199999994</v>
      </c>
      <c r="R40" s="23">
        <f t="shared" si="0"/>
        <v>-7.6014398441992128</v>
      </c>
      <c r="S40">
        <f t="shared" si="1"/>
        <v>5.3335789610484037</v>
      </c>
      <c r="T40" s="24">
        <f t="shared" si="2"/>
        <v>2.3103947299999992</v>
      </c>
      <c r="U40" s="23">
        <f t="shared" si="3"/>
        <v>-7.614178279592597</v>
      </c>
      <c r="V40">
        <f t="shared" si="4"/>
        <v>5.3475411336489911</v>
      </c>
      <c r="W40" s="24">
        <f t="shared" si="5"/>
        <v>2.319562739999999</v>
      </c>
      <c r="X40" s="23">
        <f t="shared" si="6"/>
        <v>-7.6270441831864888</v>
      </c>
      <c r="Y40">
        <f t="shared" si="7"/>
        <v>5.3613859350095261</v>
      </c>
      <c r="Z40" s="24">
        <f t="shared" si="8"/>
        <v>2.3287307499999987</v>
      </c>
      <c r="AA40" s="23">
        <f t="shared" si="9"/>
        <v>-7.6400364735782933</v>
      </c>
      <c r="AB40">
        <f t="shared" si="10"/>
        <v>5.3751122014492765</v>
      </c>
      <c r="AC40" s="24">
        <f t="shared" si="11"/>
        <v>2.3378987599999985</v>
      </c>
      <c r="AD40" s="23">
        <f t="shared" si="12"/>
        <v>-7.6531540587423752</v>
      </c>
      <c r="AE40">
        <f t="shared" si="13"/>
        <v>5.3887187792505848</v>
      </c>
      <c r="AF40" s="24">
        <f t="shared" si="14"/>
        <v>2.3470667699999983</v>
      </c>
      <c r="AG40" s="23">
        <f t="shared" si="15"/>
        <v>-7.6663958361218443</v>
      </c>
      <c r="AH40">
        <f t="shared" si="16"/>
        <v>5.4022045247558426</v>
      </c>
      <c r="AI40" s="24">
        <f t="shared" si="17"/>
        <v>2.3562347799999981</v>
      </c>
      <c r="AJ40" s="23">
        <f t="shared" si="18"/>
        <v>-7.6797606927212314</v>
      </c>
      <c r="AK40">
        <f t="shared" si="19"/>
        <v>5.4155683044636129</v>
      </c>
      <c r="AL40" s="24">
        <f t="shared" si="20"/>
        <v>2.3654027899999979</v>
      </c>
      <c r="AM40" s="23">
        <f t="shared" si="21"/>
        <v>-7.6932475052000324</v>
      </c>
      <c r="AN40">
        <f t="shared" si="22"/>
        <v>5.4288089951239087</v>
      </c>
      <c r="AO40" s="24">
        <f t="shared" si="23"/>
        <v>2.3745707999999977</v>
      </c>
      <c r="AP40" s="23">
        <f t="shared" si="24"/>
        <v>-7.7068551399671321</v>
      </c>
      <c r="AQ40">
        <f t="shared" si="25"/>
        <v>5.4419254838326001</v>
      </c>
      <c r="AR40" s="24">
        <f t="shared" si="26"/>
        <v>2.3837388099999974</v>
      </c>
      <c r="AS40" s="23">
        <f t="shared" si="27"/>
        <v>-7.7205824532760809</v>
      </c>
      <c r="AT40">
        <f t="shared" si="28"/>
        <v>5.4549166681249561</v>
      </c>
      <c r="AU40" s="24">
        <f t="shared" si="29"/>
        <v>2.3929068199999972</v>
      </c>
      <c r="AV40" s="23">
        <f t="shared" si="30"/>
        <v>-7.7344282913212297</v>
      </c>
      <c r="AW40">
        <f t="shared" si="31"/>
        <v>5.4677814560683116</v>
      </c>
      <c r="AX40" s="24">
        <f t="shared" si="32"/>
        <v>2.402074829999997</v>
      </c>
      <c r="AY40" s="23">
        <f t="shared" si="33"/>
        <v>-7.7483914903347104</v>
      </c>
      <c r="AZ40">
        <f t="shared" si="34"/>
        <v>5.4805187663538435</v>
      </c>
      <c r="BA40" s="24">
        <f t="shared" si="35"/>
        <v>2.4112428399999968</v>
      </c>
      <c r="BB40" s="23">
        <f t="shared" si="36"/>
        <v>-7.7624708766842527</v>
      </c>
      <c r="BC40">
        <f t="shared" si="37"/>
        <v>5.4931275283874585</v>
      </c>
      <c r="BD40" s="24">
        <f t="shared" si="38"/>
        <v>2.4204108499999966</v>
      </c>
      <c r="BE40" s="23">
        <f t="shared" si="39"/>
        <v>-7.7766652669718281</v>
      </c>
      <c r="BF40">
        <f t="shared" si="40"/>
        <v>5.505606682379776</v>
      </c>
      <c r="BG40" s="24">
        <f t="shared" si="41"/>
        <v>2.4295788599999963</v>
      </c>
      <c r="BH40" s="23">
        <f t="shared" si="42"/>
        <v>-7.7909734681331191</v>
      </c>
      <c r="BI40">
        <f t="shared" si="43"/>
        <v>5.5179551794352086</v>
      </c>
      <c r="BJ40" s="24">
        <f t="shared" si="44"/>
        <v>2.4387468699999961</v>
      </c>
      <c r="BK40" s="23">
        <f t="shared" si="45"/>
        <v>-7.8053942775377969</v>
      </c>
      <c r="BL40">
        <f t="shared" si="46"/>
        <v>5.5301719816401214</v>
      </c>
      <c r="BM40" s="24">
        <f t="shared" si="47"/>
        <v>2.4479148799999959</v>
      </c>
      <c r="BN40" s="23">
        <f t="shared" si="48"/>
        <v>-7.8199264830906046</v>
      </c>
      <c r="BO40">
        <f t="shared" si="49"/>
        <v>5.5422560621500709</v>
      </c>
      <c r="BP40" s="24">
        <f t="shared" si="50"/>
        <v>2.4570828899999957</v>
      </c>
      <c r="BQ40" s="23">
        <f t="shared" si="51"/>
        <v>-7.8345688633332369</v>
      </c>
      <c r="BR40">
        <f t="shared" si="52"/>
        <v>5.5542064052761146</v>
      </c>
      <c r="BS40" s="24">
        <f t="shared" si="53"/>
        <v>2.4662508999999955</v>
      </c>
      <c r="BT40" s="23">
        <f t="shared" si="54"/>
        <v>-7.8493201875470051</v>
      </c>
      <c r="BU40">
        <f t="shared" si="55"/>
        <v>5.5660220065701793</v>
      </c>
      <c r="BV40" s="24">
        <f t="shared" si="56"/>
        <v>2.4754189099999953</v>
      </c>
      <c r="BW40" s="23">
        <f t="shared" si="57"/>
        <v>-7.8641792158562822</v>
      </c>
      <c r="BX40">
        <f t="shared" si="58"/>
        <v>5.5777018729094872</v>
      </c>
      <c r="BY40" s="24">
        <f t="shared" si="59"/>
        <v>2.484586919999995</v>
      </c>
      <c r="BZ40" s="23">
        <f t="shared" si="60"/>
        <v>-7.8791446993327154</v>
      </c>
      <c r="CA40">
        <f t="shared" si="61"/>
        <v>5.5892450225800321</v>
      </c>
      <c r="CB40" s="24">
        <f t="shared" si="62"/>
        <v>2.4937549299999948</v>
      </c>
      <c r="CC40" s="23">
        <f t="shared" si="63"/>
        <v>-7.8942153801002029</v>
      </c>
      <c r="CD40">
        <f t="shared" si="64"/>
        <v>5.6006504853590906</v>
      </c>
      <c r="CE40" s="24">
        <f t="shared" si="65"/>
        <v>2.5029229399999946</v>
      </c>
      <c r="CF40" s="23">
        <f t="shared" si="66"/>
        <v>-7.9093899914406167</v>
      </c>
      <c r="CG40">
        <f t="shared" si="67"/>
        <v>5.6119173025967743</v>
      </c>
      <c r="CH40" s="24">
        <f t="shared" si="68"/>
        <v>2.5120909499999944</v>
      </c>
      <c r="CI40" s="23">
        <f t="shared" si="69"/>
        <v>-7.9246672579002775</v>
      </c>
      <c r="CJ40">
        <f t="shared" si="70"/>
        <v>5.6230445272966048</v>
      </c>
      <c r="CK40" s="24">
        <f t="shared" si="71"/>
        <v>2.5212589599999942</v>
      </c>
      <c r="CL40" s="23">
        <f t="shared" si="72"/>
        <v>-7.940045895397156</v>
      </c>
      <c r="CM40">
        <f t="shared" si="73"/>
        <v>5.6340312241951089</v>
      </c>
      <c r="CN40" s="24">
        <f t="shared" si="74"/>
        <v>2.5304269699999939</v>
      </c>
      <c r="CO40" s="23">
        <f t="shared" si="75"/>
        <v>-7.9555246113288023</v>
      </c>
      <c r="CP40">
        <f t="shared" si="76"/>
        <v>5.6448764698404323</v>
      </c>
      <c r="CQ40" s="24">
        <f t="shared" si="77"/>
        <v>2.5395949799999937</v>
      </c>
      <c r="CR40" s="23">
        <f t="shared" si="78"/>
        <v>-7.971102104680992</v>
      </c>
      <c r="CS40">
        <f t="shared" si="79"/>
        <v>5.6555793526699549</v>
      </c>
      <c r="CT40" s="24">
        <f t="shared" si="80"/>
        <v>2.5487629899999935</v>
      </c>
      <c r="CU40" s="23">
        <f t="shared" si="81"/>
        <v>-7.9867770661370798</v>
      </c>
      <c r="CV40">
        <f t="shared" si="82"/>
        <v>5.6661389730869098</v>
      </c>
      <c r="CW40" s="24">
        <f t="shared" si="83"/>
        <v>2.5579309999999933</v>
      </c>
      <c r="CY40" s="8">
        <f t="shared" si="129"/>
        <v>1.3636785191476435</v>
      </c>
      <c r="CZ40" s="8">
        <f t="shared" si="92"/>
        <v>1.3724154797266392</v>
      </c>
      <c r="DA40" s="8">
        <f t="shared" si="93"/>
        <v>1.3812032473010007</v>
      </c>
      <c r="DB40" s="8">
        <f t="shared" si="94"/>
        <v>1.390040126676142</v>
      </c>
      <c r="DC40" s="8">
        <f t="shared" si="95"/>
        <v>1.3989244514559191</v>
      </c>
      <c r="DD40" s="8">
        <f t="shared" si="96"/>
        <v>1.4078545837718777</v>
      </c>
      <c r="DE40" s="8">
        <f t="shared" si="97"/>
        <v>1.4168289139897721</v>
      </c>
      <c r="DF40" s="8">
        <f t="shared" si="98"/>
        <v>1.4258458603956974</v>
      </c>
      <c r="DG40" s="8">
        <f t="shared" si="99"/>
        <v>1.4349038688640126</v>
      </c>
      <c r="DH40" s="8">
        <f t="shared" si="100"/>
        <v>1.4440014125091329</v>
      </c>
      <c r="DI40" s="8">
        <f t="shared" si="101"/>
        <v>1.4531369913231045</v>
      </c>
      <c r="DJ40" s="8">
        <f t="shared" si="102"/>
        <v>1.4623091318007828</v>
      </c>
      <c r="DK40" s="8">
        <f t="shared" si="103"/>
        <v>1.4715163865543075</v>
      </c>
      <c r="DL40" s="8">
        <f t="shared" si="104"/>
        <v>1.4807573339184388</v>
      </c>
      <c r="DM40" s="8">
        <f t="shared" si="105"/>
        <v>1.4900305775482381</v>
      </c>
      <c r="DN40" s="8">
        <f t="shared" si="106"/>
        <v>1.4993347460104478</v>
      </c>
      <c r="DO40">
        <f t="shared" si="107"/>
        <v>1.5086684923698441</v>
      </c>
      <c r="DP40" s="8">
        <f t="shared" si="108"/>
        <v>1.5180304937717271</v>
      </c>
      <c r="DQ40">
        <f t="shared" si="109"/>
        <v>1.5274194510216355</v>
      </c>
      <c r="DR40" s="8">
        <f t="shared" si="110"/>
        <v>1.5368340881632856</v>
      </c>
      <c r="DS40">
        <f t="shared" si="111"/>
        <v>1.5462731520556454</v>
      </c>
      <c r="DT40" s="8">
        <f t="shared" si="112"/>
        <v>1.555735411949992</v>
      </c>
      <c r="DU40">
        <f t="shared" si="113"/>
        <v>1.5652196590677259</v>
      </c>
      <c r="DV40" s="8">
        <f t="shared" si="114"/>
        <v>1.5747247061796334</v>
      </c>
      <c r="DW40">
        <f t="shared" si="115"/>
        <v>1.5842493871872569</v>
      </c>
      <c r="DX40" s="8">
        <f t="shared" si="116"/>
        <v>1.5937925567069355</v>
      </c>
      <c r="DY40">
        <f t="shared" si="117"/>
        <v>1.6033530896570558</v>
      </c>
      <c r="DZ40" s="8">
        <f t="shared" si="118"/>
        <v>1.6129298808489816</v>
      </c>
      <c r="EA40">
        <f t="shared" si="119"/>
        <v>1.622521844582089</v>
      </c>
      <c r="EB40" s="8">
        <f t="shared" si="120"/>
        <v>1.6321279142432867</v>
      </c>
      <c r="EC40">
        <f t="shared" si="121"/>
        <v>1.3636785191476435</v>
      </c>
      <c r="ED40" s="8">
        <f t="shared" si="122"/>
        <v>1.6321279142432867</v>
      </c>
      <c r="EF40" s="23">
        <f t="shared" si="123"/>
        <v>2.0258440926890664E-2</v>
      </c>
      <c r="EG40" s="8">
        <f t="shared" si="84"/>
        <v>2.4546213344657581</v>
      </c>
      <c r="EH40">
        <f t="shared" si="124"/>
        <v>1.0665</v>
      </c>
      <c r="EI40" s="8">
        <f t="shared" si="125"/>
        <v>3.5413797753926488</v>
      </c>
    </row>
    <row r="41" spans="3:139" x14ac:dyDescent="0.3">
      <c r="G41" s="10"/>
      <c r="H41" s="10"/>
      <c r="I41" s="6">
        <v>23</v>
      </c>
      <c r="J41" s="6">
        <f t="shared" si="85"/>
        <v>0.189</v>
      </c>
      <c r="K41" s="6">
        <f t="shared" si="128"/>
        <v>0.14404000000000003</v>
      </c>
      <c r="L41" s="23">
        <f t="shared" si="130"/>
        <v>-7.576349649964687</v>
      </c>
      <c r="M41">
        <f t="shared" si="87"/>
        <v>5.305307206077698</v>
      </c>
      <c r="N41" s="24">
        <f t="shared" si="88"/>
        <v>2.2972946999999997</v>
      </c>
      <c r="O41" s="23">
        <f t="shared" si="89"/>
        <v>-7.5889040926986775</v>
      </c>
      <c r="P41">
        <f t="shared" si="90"/>
        <v>5.3194350497786651</v>
      </c>
      <c r="Q41" s="24">
        <f t="shared" si="91"/>
        <v>2.3116986999999996</v>
      </c>
      <c r="R41" s="23">
        <f t="shared" si="0"/>
        <v>-7.6016607235112881</v>
      </c>
      <c r="S41">
        <f t="shared" si="1"/>
        <v>5.3333805999761568</v>
      </c>
      <c r="T41" s="24">
        <f t="shared" si="2"/>
        <v>2.3261026999999994</v>
      </c>
      <c r="U41" s="23">
        <f t="shared" si="3"/>
        <v>-7.6146168957635449</v>
      </c>
      <c r="V41">
        <f t="shared" si="4"/>
        <v>5.3471409633641578</v>
      </c>
      <c r="W41" s="24">
        <f t="shared" si="5"/>
        <v>2.3405066999999993</v>
      </c>
      <c r="X41" s="23">
        <f t="shared" si="6"/>
        <v>-7.627769921417288</v>
      </c>
      <c r="Y41">
        <f t="shared" si="7"/>
        <v>5.3607132850576624</v>
      </c>
      <c r="Z41" s="24">
        <f t="shared" si="8"/>
        <v>2.3549106999999991</v>
      </c>
      <c r="AA41" s="23">
        <f t="shared" si="9"/>
        <v>-7.6411170715928591</v>
      </c>
      <c r="AB41">
        <f t="shared" si="10"/>
        <v>5.374094749184982</v>
      </c>
      <c r="AC41" s="24">
        <f t="shared" si="11"/>
        <v>2.369314699999999</v>
      </c>
      <c r="AD41" s="23">
        <f t="shared" si="12"/>
        <v>-7.654655577135272</v>
      </c>
      <c r="AE41">
        <f t="shared" si="13"/>
        <v>5.3872825794719574</v>
      </c>
      <c r="AF41" s="24">
        <f t="shared" si="14"/>
        <v>2.3837186999999989</v>
      </c>
      <c r="AG41" s="23">
        <f t="shared" si="15"/>
        <v>-7.6683826291887289</v>
      </c>
      <c r="AH41">
        <f t="shared" si="16"/>
        <v>5.4002740398179574</v>
      </c>
      <c r="AI41" s="24">
        <f t="shared" si="17"/>
        <v>2.3981226999999987</v>
      </c>
      <c r="AJ41" s="23">
        <f t="shared" si="18"/>
        <v>-7.6822953797793803</v>
      </c>
      <c r="AK41">
        <f t="shared" si="19"/>
        <v>5.4130664348635431</v>
      </c>
      <c r="AL41" s="24">
        <f t="shared" si="20"/>
        <v>2.4125266999999986</v>
      </c>
      <c r="AM41" s="23">
        <f t="shared" si="21"/>
        <v>-7.6963909424062003</v>
      </c>
      <c r="AN41">
        <f t="shared" si="22"/>
        <v>5.4256571105496771</v>
      </c>
      <c r="AO41" s="24">
        <f t="shared" si="23"/>
        <v>2.4269306999999984</v>
      </c>
      <c r="AP41" s="23">
        <f t="shared" si="24"/>
        <v>-7.7106663926398502</v>
      </c>
      <c r="AQ41">
        <f t="shared" si="25"/>
        <v>5.4380434546683665</v>
      </c>
      <c r="AR41" s="24">
        <f t="shared" si="26"/>
        <v>2.4413346999999983</v>
      </c>
      <c r="AS41" s="23">
        <f t="shared" si="27"/>
        <v>-7.7251187687294172</v>
      </c>
      <c r="AT41">
        <f t="shared" si="28"/>
        <v>5.450222897404621</v>
      </c>
      <c r="AU41" s="24">
        <f t="shared" si="29"/>
        <v>2.4557386999999982</v>
      </c>
      <c r="AV41" s="23">
        <f t="shared" si="30"/>
        <v>-7.739745072216893</v>
      </c>
      <c r="AW41">
        <f t="shared" si="31"/>
        <v>5.462192911869618</v>
      </c>
      <c r="AX41" s="24">
        <f t="shared" si="32"/>
        <v>2.470142699999998</v>
      </c>
      <c r="AY41" s="23">
        <f t="shared" si="33"/>
        <v>-7.7545422685592698</v>
      </c>
      <c r="AZ41">
        <f t="shared" si="34"/>
        <v>5.4739510146249586</v>
      </c>
      <c r="BA41" s="24">
        <f t="shared" si="35"/>
        <v>2.4845466999999979</v>
      </c>
      <c r="BB41" s="23">
        <f t="shared" si="36"/>
        <v>-7.7695072877581195</v>
      </c>
      <c r="BC41">
        <f t="shared" si="37"/>
        <v>5.4854947661979123</v>
      </c>
      <c r="BD41" s="24">
        <f t="shared" si="38"/>
        <v>2.4989506999999977</v>
      </c>
      <c r="BE41" s="23">
        <f t="shared" si="39"/>
        <v>-7.7846370249965329</v>
      </c>
      <c r="BF41">
        <f t="shared" si="40"/>
        <v>5.4968217715875367</v>
      </c>
      <c r="BG41" s="24">
        <f t="shared" si="41"/>
        <v>2.5133546999999976</v>
      </c>
      <c r="BH41" s="23">
        <f t="shared" si="42"/>
        <v>-7.7999283412832803</v>
      </c>
      <c r="BI41">
        <f t="shared" si="43"/>
        <v>5.5079296807615732</v>
      </c>
      <c r="BJ41" s="24">
        <f t="shared" si="44"/>
        <v>2.5277586999999975</v>
      </c>
      <c r="BK41" s="23">
        <f t="shared" si="45"/>
        <v>-7.8153780641040651</v>
      </c>
      <c r="BL41">
        <f t="shared" si="46"/>
        <v>5.5188161891440126</v>
      </c>
      <c r="BM41" s="24">
        <f t="shared" si="47"/>
        <v>2.5421626999999973</v>
      </c>
      <c r="BN41" s="23">
        <f t="shared" si="48"/>
        <v>-7.8309829880797279</v>
      </c>
      <c r="BO41">
        <f t="shared" si="49"/>
        <v>5.5294790380932284</v>
      </c>
      <c r="BP41" s="24">
        <f t="shared" si="50"/>
        <v>2.5565666999999972</v>
      </c>
      <c r="BQ41" s="23">
        <f t="shared" si="51"/>
        <v>-7.8467398756312727</v>
      </c>
      <c r="BR41">
        <f t="shared" si="52"/>
        <v>5.5399160153705811</v>
      </c>
      <c r="BS41" s="24">
        <f t="shared" si="53"/>
        <v>2.5709706999999971</v>
      </c>
      <c r="BT41" s="23">
        <f t="shared" si="54"/>
        <v>-7.8626454576515741</v>
      </c>
      <c r="BU41">
        <f t="shared" si="55"/>
        <v>5.5501249555993937</v>
      </c>
      <c r="BV41" s="24">
        <f t="shared" si="56"/>
        <v>2.5853746999999969</v>
      </c>
      <c r="BW41" s="23">
        <f t="shared" si="57"/>
        <v>-7.8786964341836221</v>
      </c>
      <c r="BX41">
        <f t="shared" si="58"/>
        <v>5.560103740714208</v>
      </c>
      <c r="BY41" s="24">
        <f t="shared" si="59"/>
        <v>2.5997786999999968</v>
      </c>
      <c r="BZ41" s="23">
        <f t="shared" si="60"/>
        <v>-7.8948894751051704</v>
      </c>
      <c r="CA41">
        <f t="shared" si="61"/>
        <v>5.5698503004002227</v>
      </c>
      <c r="CB41" s="24">
        <f t="shared" si="62"/>
        <v>2.6141826999999966</v>
      </c>
      <c r="CC41" s="23">
        <f t="shared" si="63"/>
        <v>-7.9112212208196437</v>
      </c>
      <c r="CD41">
        <f t="shared" si="64"/>
        <v>5.5793626125228242</v>
      </c>
      <c r="CE41" s="24">
        <f t="shared" si="65"/>
        <v>2.6285866999999965</v>
      </c>
      <c r="CF41" s="23">
        <f t="shared" si="66"/>
        <v>-7.9276882829531559</v>
      </c>
      <c r="CG41">
        <f t="shared" si="67"/>
        <v>5.5886387035471214</v>
      </c>
      <c r="CH41" s="24">
        <f t="shared" si="68"/>
        <v>2.6429906999999964</v>
      </c>
      <c r="CI41" s="23">
        <f t="shared" si="69"/>
        <v>-7.9442872450575033</v>
      </c>
      <c r="CJ41">
        <f t="shared" si="70"/>
        <v>5.5976766489474006</v>
      </c>
      <c r="CK41" s="24">
        <f t="shared" si="71"/>
        <v>2.6573946999999962</v>
      </c>
      <c r="CL41" s="23">
        <f t="shared" si="72"/>
        <v>-7.9610146633189816</v>
      </c>
      <c r="CM41">
        <f t="shared" si="73"/>
        <v>5.6064745736064081</v>
      </c>
      <c r="CN41" s="24">
        <f t="shared" si="74"/>
        <v>2.6717986999999961</v>
      </c>
      <c r="CO41" s="23">
        <f t="shared" si="75"/>
        <v>-7.9778670672728769</v>
      </c>
      <c r="CP41">
        <f t="shared" si="76"/>
        <v>5.6150306522043838</v>
      </c>
      <c r="CQ41" s="24">
        <f t="shared" si="77"/>
        <v>2.6862026999999959</v>
      </c>
      <c r="CR41" s="23">
        <f t="shared" si="78"/>
        <v>-7.9948409605234909</v>
      </c>
      <c r="CS41">
        <f t="shared" si="79"/>
        <v>5.6233431095977648</v>
      </c>
      <c r="CT41" s="24">
        <f t="shared" si="80"/>
        <v>2.7006066999999958</v>
      </c>
      <c r="CU41" s="23">
        <f t="shared" si="81"/>
        <v>-8.0119328214695429</v>
      </c>
      <c r="CV41">
        <f t="shared" si="82"/>
        <v>5.6314102211874753</v>
      </c>
      <c r="CW41" s="24">
        <f t="shared" si="83"/>
        <v>2.7150106999999957</v>
      </c>
      <c r="CY41" s="8">
        <f t="shared" si="129"/>
        <v>1.3636785191476435</v>
      </c>
      <c r="CZ41" s="8">
        <f t="shared" si="92"/>
        <v>1.3723278893948134</v>
      </c>
      <c r="DA41" s="8">
        <f t="shared" si="93"/>
        <v>1.3809410816243242</v>
      </c>
      <c r="DB41" s="8">
        <f t="shared" si="94"/>
        <v>1.3895169981806903</v>
      </c>
      <c r="DC41" s="8">
        <f t="shared" si="95"/>
        <v>1.3980545620945055</v>
      </c>
      <c r="DD41" s="8">
        <f t="shared" si="96"/>
        <v>1.4065527165259106</v>
      </c>
      <c r="DE41" s="8">
        <f t="shared" si="97"/>
        <v>1.4150104242289878</v>
      </c>
      <c r="DF41" s="8">
        <f t="shared" si="98"/>
        <v>1.4234266670363518</v>
      </c>
      <c r="DG41" s="8">
        <f t="shared" si="99"/>
        <v>1.4318004453632007</v>
      </c>
      <c r="DH41" s="8">
        <f t="shared" si="100"/>
        <v>1.4401307777301267</v>
      </c>
      <c r="DI41" s="8">
        <f t="shared" si="101"/>
        <v>1.4484167003040056</v>
      </c>
      <c r="DJ41" s="8">
        <f t="shared" si="102"/>
        <v>1.4566572664562998</v>
      </c>
      <c r="DK41" s="8">
        <f t="shared" si="103"/>
        <v>1.4648515463381304</v>
      </c>
      <c r="DL41" s="8">
        <f t="shared" si="104"/>
        <v>1.4729986264714976</v>
      </c>
      <c r="DM41" s="8">
        <f t="shared" si="105"/>
        <v>1.4810976093560515</v>
      </c>
      <c r="DN41" s="8">
        <f t="shared" si="106"/>
        <v>1.4891476130908212</v>
      </c>
      <c r="DO41">
        <f t="shared" si="107"/>
        <v>1.4971477710103496</v>
      </c>
      <c r="DP41" s="8">
        <f t="shared" si="108"/>
        <v>1.5050972313346844</v>
      </c>
      <c r="DQ41">
        <f t="shared" si="109"/>
        <v>1.5129951568327022</v>
      </c>
      <c r="DR41" s="8">
        <f t="shared" si="110"/>
        <v>1.5208407244982605</v>
      </c>
      <c r="DS41">
        <f t="shared" si="111"/>
        <v>1.5286331252386856</v>
      </c>
      <c r="DT41" s="8">
        <f t="shared" si="112"/>
        <v>1.5363715635751354</v>
      </c>
      <c r="DU41">
        <f t="shared" si="113"/>
        <v>1.5440552573543731</v>
      </c>
      <c r="DV41" s="8">
        <f t="shared" si="114"/>
        <v>1.5516834374715172</v>
      </c>
      <c r="DW41">
        <f t="shared" si="115"/>
        <v>1.559255347603353</v>
      </c>
      <c r="DX41" s="8">
        <f t="shared" si="116"/>
        <v>1.5667702439517974</v>
      </c>
      <c r="DY41">
        <f t="shared" si="117"/>
        <v>1.5742273949971235</v>
      </c>
      <c r="DZ41" s="8">
        <f t="shared" si="118"/>
        <v>1.5816260812605738</v>
      </c>
      <c r="EA41">
        <f t="shared" si="119"/>
        <v>1.5889655950760053</v>
      </c>
      <c r="EB41" s="8">
        <f t="shared" si="120"/>
        <v>1.5962452403702072</v>
      </c>
      <c r="EC41">
        <f t="shared" si="121"/>
        <v>1.3636785191476435</v>
      </c>
      <c r="ED41" s="8">
        <f t="shared" si="122"/>
        <v>1.5962452403702072</v>
      </c>
      <c r="EF41" s="23">
        <f t="shared" si="123"/>
        <v>0.17858698453282651</v>
      </c>
      <c r="EG41" s="8">
        <f t="shared" si="84"/>
        <v>2.4546213344657581</v>
      </c>
      <c r="EH41">
        <f t="shared" si="124"/>
        <v>1.0665</v>
      </c>
      <c r="EI41" s="8">
        <f t="shared" si="125"/>
        <v>3.6997083189985847</v>
      </c>
    </row>
    <row r="42" spans="3:139" x14ac:dyDescent="0.3">
      <c r="G42" s="10"/>
      <c r="H42" s="10"/>
      <c r="I42" s="6">
        <v>24</v>
      </c>
      <c r="J42" s="6">
        <f t="shared" si="85"/>
        <v>0.189</v>
      </c>
      <c r="K42" s="6">
        <f t="shared" si="128"/>
        <v>0.19639990000000002</v>
      </c>
      <c r="L42" s="23">
        <f t="shared" si="130"/>
        <v>-7.576349649964687</v>
      </c>
      <c r="M42">
        <f t="shared" si="87"/>
        <v>5.305307206077698</v>
      </c>
      <c r="N42" s="24">
        <f t="shared" si="88"/>
        <v>2.3025306899999998</v>
      </c>
      <c r="O42" s="23">
        <f t="shared" si="89"/>
        <v>-7.588977893515672</v>
      </c>
      <c r="P42">
        <f t="shared" si="90"/>
        <v>5.3193691214812624</v>
      </c>
      <c r="Q42" s="24">
        <f t="shared" si="91"/>
        <v>2.3221706799999997</v>
      </c>
      <c r="R42" s="23">
        <f t="shared" si="0"/>
        <v>-7.6018798597271564</v>
      </c>
      <c r="S42">
        <f t="shared" si="1"/>
        <v>5.3331803222935639</v>
      </c>
      <c r="T42" s="24">
        <f t="shared" si="2"/>
        <v>2.3418106699999997</v>
      </c>
      <c r="U42" s="23">
        <f t="shared" si="3"/>
        <v>-7.615050572093911</v>
      </c>
      <c r="V42">
        <f t="shared" si="4"/>
        <v>5.3467354813023036</v>
      </c>
      <c r="W42" s="24">
        <f t="shared" si="5"/>
        <v>2.3614506599999996</v>
      </c>
      <c r="X42" s="23">
        <f t="shared" si="6"/>
        <v>-7.6284849504507966</v>
      </c>
      <c r="Y42">
        <f t="shared" si="7"/>
        <v>5.3600293700548116</v>
      </c>
      <c r="Z42" s="24">
        <f t="shared" si="8"/>
        <v>2.3810906499999995</v>
      </c>
      <c r="AA42" s="23">
        <f t="shared" si="9"/>
        <v>-7.6421778129322693</v>
      </c>
      <c r="AB42">
        <f t="shared" si="10"/>
        <v>5.3730568608747458</v>
      </c>
      <c r="AC42" s="24">
        <f t="shared" si="11"/>
        <v>2.4007306399999995</v>
      </c>
      <c r="AD42" s="23">
        <f t="shared" si="12"/>
        <v>-7.6561238779711154</v>
      </c>
      <c r="AE42">
        <f t="shared" si="13"/>
        <v>5.3858129288399255</v>
      </c>
      <c r="AF42" s="24">
        <f t="shared" si="14"/>
        <v>2.4203706299999994</v>
      </c>
      <c r="AG42" s="23">
        <f t="shared" si="15"/>
        <v>-7.6703177663356366</v>
      </c>
      <c r="AH42">
        <f t="shared" si="16"/>
        <v>5.3982926537205271</v>
      </c>
      <c r="AI42" s="24">
        <f t="shared" si="17"/>
        <v>2.4400106199999994</v>
      </c>
      <c r="AJ42" s="23">
        <f t="shared" si="18"/>
        <v>-7.6847540032045147</v>
      </c>
      <c r="AK42">
        <f t="shared" si="19"/>
        <v>5.4104912218768995</v>
      </c>
      <c r="AL42" s="24">
        <f t="shared" si="20"/>
        <v>2.4596506099999993</v>
      </c>
      <c r="AM42" s="23">
        <f t="shared" si="21"/>
        <v>-7.699427020278538</v>
      </c>
      <c r="AN42">
        <f t="shared" si="22"/>
        <v>5.4224039281162648</v>
      </c>
      <c r="AO42" s="24">
        <f t="shared" si="23"/>
        <v>2.4792905999999992</v>
      </c>
      <c r="AP42" s="23">
        <f t="shared" si="24"/>
        <v>-7.7143311579283909</v>
      </c>
      <c r="AQ42">
        <f t="shared" si="25"/>
        <v>5.4340261775075938</v>
      </c>
      <c r="AR42" s="24">
        <f t="shared" si="26"/>
        <v>2.4989305899999992</v>
      </c>
      <c r="AS42" s="23">
        <f t="shared" si="27"/>
        <v>-7.7294606673776665</v>
      </c>
      <c r="AT42">
        <f t="shared" si="28"/>
        <v>5.4453534871539437</v>
      </c>
      <c r="AU42" s="24">
        <f t="shared" si="29"/>
        <v>2.5185705799999991</v>
      </c>
      <c r="AV42" s="23">
        <f t="shared" si="30"/>
        <v>-7.744809712920266</v>
      </c>
      <c r="AW42">
        <f t="shared" si="31"/>
        <v>5.4563814879215897</v>
      </c>
      <c r="AX42" s="24">
        <f t="shared" si="32"/>
        <v>2.5382105699999991</v>
      </c>
      <c r="AY42" s="23">
        <f t="shared" si="33"/>
        <v>-7.7603723741713306</v>
      </c>
      <c r="AZ42">
        <f t="shared" si="34"/>
        <v>5.4671059261252717</v>
      </c>
      <c r="BA42" s="24">
        <f t="shared" si="35"/>
        <v>2.557850559999999</v>
      </c>
      <c r="BB42" s="23">
        <f t="shared" si="36"/>
        <v>-7.7761426483508327</v>
      </c>
      <c r="BC42">
        <f t="shared" si="37"/>
        <v>5.4775226651689142</v>
      </c>
      <c r="BD42" s="24">
        <f t="shared" si="38"/>
        <v>2.5774905499999989</v>
      </c>
      <c r="BE42" s="23">
        <f t="shared" si="39"/>
        <v>-7.7921144525989465</v>
      </c>
      <c r="BF42">
        <f t="shared" si="40"/>
        <v>5.4876276871411784</v>
      </c>
      <c r="BG42" s="24">
        <f t="shared" si="41"/>
        <v>2.5971305399999989</v>
      </c>
      <c r="BH42" s="23">
        <f t="shared" si="42"/>
        <v>-7.8082816263223123</v>
      </c>
      <c r="BI42">
        <f t="shared" si="43"/>
        <v>5.4974170943652405</v>
      </c>
      <c r="BJ42" s="24">
        <f t="shared" si="44"/>
        <v>2.6167705299999988</v>
      </c>
      <c r="BK42" s="23">
        <f t="shared" si="45"/>
        <v>-7.8246379335702798</v>
      </c>
      <c r="BL42">
        <f t="shared" si="46"/>
        <v>5.5068871109021886</v>
      </c>
      <c r="BM42" s="24">
        <f t="shared" si="47"/>
        <v>2.6364105199999988</v>
      </c>
      <c r="BN42" s="23">
        <f t="shared" si="48"/>
        <v>-7.8411770654402204</v>
      </c>
      <c r="BO42">
        <f t="shared" si="49"/>
        <v>5.5160340840074689</v>
      </c>
      <c r="BP42" s="24">
        <f t="shared" si="50"/>
        <v>2.6560505099999987</v>
      </c>
      <c r="BQ42" s="23">
        <f t="shared" si="51"/>
        <v>-7.8578926425109739</v>
      </c>
      <c r="BR42">
        <f t="shared" si="52"/>
        <v>5.5248544855398078</v>
      </c>
      <c r="BS42" s="24">
        <f t="shared" si="53"/>
        <v>2.6756904999999986</v>
      </c>
      <c r="BT42" s="23">
        <f t="shared" si="54"/>
        <v>-7.8747782173035015</v>
      </c>
      <c r="BU42">
        <f t="shared" si="55"/>
        <v>5.533344913322078</v>
      </c>
      <c r="BV42" s="24">
        <f t="shared" si="56"/>
        <v>2.6953304899999986</v>
      </c>
      <c r="BW42" s="23">
        <f t="shared" si="57"/>
        <v>-7.8918272767677857</v>
      </c>
      <c r="BX42">
        <f t="shared" si="58"/>
        <v>5.5415020924535723</v>
      </c>
      <c r="BY42" s="24">
        <f t="shared" si="59"/>
        <v>2.7149704799999985</v>
      </c>
      <c r="BZ42" s="23">
        <f t="shared" si="60"/>
        <v>-7.9090332447950233</v>
      </c>
      <c r="CA42">
        <f t="shared" si="61"/>
        <v>5.5493228765731901</v>
      </c>
      <c r="CB42" s="24">
        <f t="shared" si="62"/>
        <v>2.7346104699999985</v>
      </c>
      <c r="CC42" s="23">
        <f t="shared" si="63"/>
        <v>-7.9263894847541403</v>
      </c>
      <c r="CD42">
        <f t="shared" si="64"/>
        <v>5.5568042490730418</v>
      </c>
      <c r="CE42" s="24">
        <f t="shared" si="65"/>
        <v>2.7542504599999984</v>
      </c>
      <c r="CF42" s="23">
        <f t="shared" si="66"/>
        <v>-7.9438893020516534</v>
      </c>
      <c r="CG42">
        <f t="shared" si="67"/>
        <v>5.563943324262004</v>
      </c>
      <c r="CH42" s="24">
        <f t="shared" si="68"/>
        <v>2.7738904499999983</v>
      </c>
      <c r="CI42" s="23">
        <f t="shared" si="69"/>
        <v>-7.9615259467138868</v>
      </c>
      <c r="CJ42">
        <f t="shared" si="70"/>
        <v>5.5707373484787794</v>
      </c>
      <c r="CK42" s="24">
        <f t="shared" si="71"/>
        <v>2.7935304399999983</v>
      </c>
      <c r="CL42" s="23">
        <f t="shared" si="72"/>
        <v>-7.9792926159905484</v>
      </c>
      <c r="CM42">
        <f t="shared" si="73"/>
        <v>5.5771837011540306</v>
      </c>
      <c r="CN42" s="24">
        <f t="shared" si="74"/>
        <v>2.8131704299999982</v>
      </c>
      <c r="CO42" s="23">
        <f t="shared" si="75"/>
        <v>-7.9971824569786696</v>
      </c>
      <c r="CP42">
        <f t="shared" si="76"/>
        <v>5.5832798958211773</v>
      </c>
      <c r="CQ42" s="24">
        <f t="shared" si="77"/>
        <v>2.8328104199999982</v>
      </c>
      <c r="CR42" s="23">
        <f t="shared" si="78"/>
        <v>-8.0151885692658809</v>
      </c>
      <c r="CS42">
        <f t="shared" si="79"/>
        <v>5.5890235810754687</v>
      </c>
      <c r="CT42" s="24">
        <f t="shared" si="80"/>
        <v>2.8524504099999981</v>
      </c>
      <c r="CU42" s="23">
        <f t="shared" si="81"/>
        <v>-8.033304007592017</v>
      </c>
      <c r="CV42">
        <f t="shared" si="82"/>
        <v>5.5944125414809607</v>
      </c>
      <c r="CW42" s="24">
        <f t="shared" si="83"/>
        <v>2.872090399999998</v>
      </c>
      <c r="CY42" s="8">
        <f t="shared" si="129"/>
        <v>1.3636785191476435</v>
      </c>
      <c r="CZ42" s="8">
        <f t="shared" si="92"/>
        <v>1.3722400606454748</v>
      </c>
      <c r="DA42" s="8">
        <f t="shared" si="93"/>
        <v>1.3806777284578373</v>
      </c>
      <c r="DB42" s="8">
        <f t="shared" si="94"/>
        <v>1.3889905548753327</v>
      </c>
      <c r="DC42" s="8">
        <f t="shared" si="95"/>
        <v>1.3971775901454848</v>
      </c>
      <c r="DD42" s="8">
        <f t="shared" si="96"/>
        <v>1.4052379023135002</v>
      </c>
      <c r="DE42" s="8">
        <f t="shared" si="97"/>
        <v>1.4131705770748817</v>
      </c>
      <c r="DF42" s="8">
        <f t="shared" si="98"/>
        <v>1.4209747176390768</v>
      </c>
      <c r="DG42" s="8">
        <f t="shared" si="99"/>
        <v>1.4286494446034153</v>
      </c>
      <c r="DH42" s="8">
        <f t="shared" si="100"/>
        <v>1.4361938958366383</v>
      </c>
      <c r="DI42" s="8">
        <f t="shared" si="101"/>
        <v>1.4436072263713668</v>
      </c>
      <c r="DJ42" s="8">
        <f t="shared" si="102"/>
        <v>1.4508886083048957</v>
      </c>
      <c r="DK42" s="8">
        <f t="shared" si="103"/>
        <v>1.4580372307077589</v>
      </c>
      <c r="DL42" s="8">
        <f t="shared" si="104"/>
        <v>1.4650522995395252</v>
      </c>
      <c r="DM42" s="8">
        <f t="shared" si="105"/>
        <v>1.4719330375713393</v>
      </c>
      <c r="DN42" s="8">
        <f t="shared" si="106"/>
        <v>1.4786786843147399</v>
      </c>
      <c r="DO42">
        <f t="shared" si="107"/>
        <v>1.4852884959563304</v>
      </c>
      <c r="DP42" s="8">
        <f t="shared" si="108"/>
        <v>1.4917617452978902</v>
      </c>
      <c r="DQ42">
        <f t="shared" si="109"/>
        <v>1.4980977217015625</v>
      </c>
      <c r="DR42" s="8">
        <f t="shared" si="110"/>
        <v>1.50429573103975</v>
      </c>
      <c r="DS42">
        <f t="shared" si="111"/>
        <v>1.5103550956493992</v>
      </c>
      <c r="DT42" s="8">
        <f t="shared" si="112"/>
        <v>1.5162751542903588</v>
      </c>
      <c r="DU42">
        <f t="shared" si="113"/>
        <v>1.5220552621075243</v>
      </c>
      <c r="DV42" s="8">
        <f t="shared" si="114"/>
        <v>1.527694790596495</v>
      </c>
      <c r="DW42">
        <f t="shared" si="115"/>
        <v>1.5331931275724884</v>
      </c>
      <c r="DX42" s="8">
        <f t="shared" si="116"/>
        <v>1.5385496771422744</v>
      </c>
      <c r="DY42">
        <f t="shared" si="117"/>
        <v>1.5437638596789043</v>
      </c>
      <c r="DZ42" s="8">
        <f t="shared" si="118"/>
        <v>1.5488351117990229</v>
      </c>
      <c r="EA42">
        <f t="shared" si="119"/>
        <v>1.5537628863425688</v>
      </c>
      <c r="EB42" s="8">
        <f t="shared" si="120"/>
        <v>1.5585466523546772</v>
      </c>
      <c r="EC42">
        <f t="shared" si="121"/>
        <v>1.3636785191476435</v>
      </c>
      <c r="ED42" s="8">
        <f t="shared" si="122"/>
        <v>1.5585466523546772</v>
      </c>
      <c r="EF42" s="23">
        <f t="shared" si="123"/>
        <v>0.33690707428409938</v>
      </c>
      <c r="EG42" s="8">
        <f t="shared" si="84"/>
        <v>2.4546213344657581</v>
      </c>
      <c r="EH42">
        <f t="shared" si="124"/>
        <v>1.0665</v>
      </c>
      <c r="EI42" s="8">
        <f t="shared" si="125"/>
        <v>3.8580284087498575</v>
      </c>
    </row>
    <row r="43" spans="3:139" x14ac:dyDescent="0.3">
      <c r="G43" s="10"/>
      <c r="H43" s="10"/>
      <c r="I43" s="6">
        <v>25</v>
      </c>
      <c r="J43" s="6">
        <f t="shared" si="85"/>
        <v>0.23899999999999999</v>
      </c>
      <c r="K43" s="6">
        <f t="shared" si="128"/>
        <v>-0.37955900000000004</v>
      </c>
      <c r="L43" s="23">
        <f t="shared" si="130"/>
        <v>-7.5796167531299483</v>
      </c>
      <c r="M43">
        <f t="shared" si="87"/>
        <v>5.3090921812305281</v>
      </c>
      <c r="N43" s="24">
        <f t="shared" si="88"/>
        <v>2.2449347999999998</v>
      </c>
      <c r="O43" s="23">
        <f t="shared" si="89"/>
        <v>-7.5945357183201407</v>
      </c>
      <c r="P43">
        <f t="shared" si="90"/>
        <v>5.327763937378621</v>
      </c>
      <c r="Q43" s="24">
        <f t="shared" si="91"/>
        <v>2.2069788999999997</v>
      </c>
      <c r="R43" s="23">
        <f t="shared" si="0"/>
        <v>-7.6087354051384342</v>
      </c>
      <c r="S43">
        <f t="shared" si="1"/>
        <v>5.3469883722015847</v>
      </c>
      <c r="T43" s="24">
        <f t="shared" si="2"/>
        <v>2.1690229999999997</v>
      </c>
      <c r="U43" s="23">
        <f t="shared" si="3"/>
        <v>-7.6221953592569225</v>
      </c>
      <c r="V43">
        <f t="shared" si="4"/>
        <v>5.3667377933355871</v>
      </c>
      <c r="W43" s="24">
        <f t="shared" si="5"/>
        <v>2.1310670999999997</v>
      </c>
      <c r="X43" s="23">
        <f t="shared" si="6"/>
        <v>-7.6348961919159333</v>
      </c>
      <c r="Y43">
        <f t="shared" si="7"/>
        <v>5.3869837521858814</v>
      </c>
      <c r="Z43" s="24">
        <f t="shared" si="8"/>
        <v>2.0931111999999996</v>
      </c>
      <c r="AA43" s="23">
        <f t="shared" si="9"/>
        <v>-7.6468196078530983</v>
      </c>
      <c r="AB43">
        <f t="shared" si="10"/>
        <v>5.4076970849063626</v>
      </c>
      <c r="AC43" s="24">
        <f t="shared" si="11"/>
        <v>2.0551552999999996</v>
      </c>
      <c r="AD43" s="23">
        <f t="shared" si="12"/>
        <v>-7.6579484316572657</v>
      </c>
      <c r="AE43">
        <f t="shared" si="13"/>
        <v>5.4288479544094299</v>
      </c>
      <c r="AF43" s="24">
        <f t="shared" si="14"/>
        <v>2.0171993999999995</v>
      </c>
      <c r="AG43" s="23">
        <f t="shared" si="15"/>
        <v>-7.6682666325092894</v>
      </c>
      <c r="AH43">
        <f t="shared" si="16"/>
        <v>5.4504058933456383</v>
      </c>
      <c r="AI43" s="24">
        <f t="shared" si="17"/>
        <v>1.9792434999999995</v>
      </c>
      <c r="AJ43" s="23">
        <f t="shared" si="18"/>
        <v>-7.6777593472740655</v>
      </c>
      <c r="AK43">
        <f t="shared" si="19"/>
        <v>5.4723398479912237</v>
      </c>
      <c r="AL43" s="24">
        <f t="shared" si="20"/>
        <v>1.9412875999999994</v>
      </c>
      <c r="AM43" s="23">
        <f t="shared" si="21"/>
        <v>-7.6864129019105381</v>
      </c>
      <c r="AN43">
        <f t="shared" si="22"/>
        <v>5.4946182229802929</v>
      </c>
      <c r="AO43" s="24">
        <f t="shared" si="23"/>
        <v>1.9033316999999994</v>
      </c>
      <c r="AP43" s="23">
        <f t="shared" si="24"/>
        <v>-7.6942148311688499</v>
      </c>
      <c r="AQ43">
        <f t="shared" si="25"/>
        <v>5.517208926817232</v>
      </c>
      <c r="AR43" s="24">
        <f t="shared" si="26"/>
        <v>1.8653757999999994</v>
      </c>
      <c r="AS43" s="23">
        <f t="shared" si="27"/>
        <v>-7.701153896546252</v>
      </c>
      <c r="AT43">
        <f t="shared" si="28"/>
        <v>5.5400794181037814</v>
      </c>
      <c r="AU43" s="24">
        <f t="shared" si="29"/>
        <v>1.8274198999999993</v>
      </c>
      <c r="AV43" s="23">
        <f t="shared" si="30"/>
        <v>-7.7072201024759117</v>
      </c>
      <c r="AW43">
        <f t="shared" si="31"/>
        <v>5.5631967524141848</v>
      </c>
      <c r="AX43" s="24">
        <f t="shared" si="32"/>
        <v>1.7894639999999993</v>
      </c>
      <c r="AY43" s="23">
        <f t="shared" si="33"/>
        <v>-7.7124047107253011</v>
      </c>
      <c r="AZ43">
        <f t="shared" si="34"/>
        <v>5.5865276297508899</v>
      </c>
      <c r="BA43" s="24">
        <f t="shared" si="35"/>
        <v>1.7515080999999992</v>
      </c>
      <c r="BB43" s="23">
        <f t="shared" si="36"/>
        <v>-7.7167002529834257</v>
      </c>
      <c r="BC43">
        <f t="shared" si="37"/>
        <v>5.6100384425124403</v>
      </c>
      <c r="BD43" s="24">
        <f t="shared" si="38"/>
        <v>1.7135521999999992</v>
      </c>
      <c r="BE43" s="23">
        <f t="shared" si="39"/>
        <v>-7.7201005416187538</v>
      </c>
      <c r="BF43">
        <f t="shared" si="40"/>
        <v>5.633695323904468</v>
      </c>
      <c r="BG43" s="24">
        <f t="shared" si="41"/>
        <v>1.6755962999999992</v>
      </c>
      <c r="BH43" s="23">
        <f t="shared" si="42"/>
        <v>-7.7226006785923635</v>
      </c>
      <c r="BI43">
        <f t="shared" si="43"/>
        <v>5.6574641967240442</v>
      </c>
      <c r="BJ43" s="24">
        <f t="shared" si="44"/>
        <v>1.6376403999999991</v>
      </c>
      <c r="BK43" s="23">
        <f t="shared" si="45"/>
        <v>-7.7241970625134551</v>
      </c>
      <c r="BL43">
        <f t="shared" si="46"/>
        <v>5.68131082244712</v>
      </c>
      <c r="BM43" s="24">
        <f t="shared" si="47"/>
        <v>1.5996844999999991</v>
      </c>
      <c r="BN43" s="23">
        <f t="shared" si="48"/>
        <v>-7.724887393827073</v>
      </c>
      <c r="BO43">
        <f t="shared" si="49"/>
        <v>5.7052008505483478</v>
      </c>
      <c r="BP43" s="24">
        <f t="shared" si="50"/>
        <v>1.561728599999999</v>
      </c>
      <c r="BQ43" s="23">
        <f t="shared" si="51"/>
        <v>-7.7246706781265635</v>
      </c>
      <c r="BR43">
        <f t="shared" si="52"/>
        <v>5.7290998679822334</v>
      </c>
      <c r="BS43" s="24">
        <f t="shared" si="53"/>
        <v>1.523772699999999</v>
      </c>
      <c r="BT43" s="23">
        <f t="shared" si="54"/>
        <v>-7.7235472275859944</v>
      </c>
      <c r="BU43">
        <f t="shared" si="55"/>
        <v>5.7529734487543527</v>
      </c>
      <c r="BV43" s="24">
        <f t="shared" si="56"/>
        <v>1.4858167999999989</v>
      </c>
      <c r="BW43" s="23">
        <f t="shared" si="57"/>
        <v>-7.7215186605104771</v>
      </c>
      <c r="BX43">
        <f t="shared" si="58"/>
        <v>5.7767872035112182</v>
      </c>
      <c r="BY43" s="24">
        <f t="shared" si="59"/>
        <v>1.4478608999999989</v>
      </c>
      <c r="BZ43" s="23">
        <f t="shared" si="60"/>
        <v>-7.7185878990050316</v>
      </c>
      <c r="CA43">
        <f t="shared" si="61"/>
        <v>5.8005068290773645</v>
      </c>
      <c r="CB43" s="24">
        <f t="shared" si="62"/>
        <v>1.4099049999999989</v>
      </c>
      <c r="CC43" s="23">
        <f t="shared" si="63"/>
        <v>-7.7147591647653622</v>
      </c>
      <c r="CD43">
        <f t="shared" si="64"/>
        <v>5.8240981578682991</v>
      </c>
      <c r="CE43" s="24">
        <f t="shared" si="65"/>
        <v>1.3719490999999988</v>
      </c>
      <c r="CF43" s="23">
        <f t="shared" si="66"/>
        <v>-7.7100379729966004</v>
      </c>
      <c r="CG43">
        <f t="shared" si="67"/>
        <v>5.8475272071081337</v>
      </c>
      <c r="CH43" s="24">
        <f t="shared" si="68"/>
        <v>1.3339931999999988</v>
      </c>
      <c r="CI43" s="23">
        <f t="shared" si="69"/>
        <v>-7.7044311244687762</v>
      </c>
      <c r="CJ43">
        <f t="shared" si="70"/>
        <v>5.8707602277810045</v>
      </c>
      <c r="CK43" s="24">
        <f t="shared" si="71"/>
        <v>1.2960372999999987</v>
      </c>
      <c r="CL43" s="23">
        <f t="shared" si="72"/>
        <v>-7.6979466957204625</v>
      </c>
      <c r="CM43">
        <f t="shared" si="73"/>
        <v>5.8937637532457687</v>
      </c>
      <c r="CN43" s="24">
        <f t="shared" si="74"/>
        <v>1.2580813999999987</v>
      </c>
      <c r="CO43" s="23">
        <f t="shared" si="75"/>
        <v>-7.6905940274247033</v>
      </c>
      <c r="CP43">
        <f t="shared" si="76"/>
        <v>5.9165046474439427</v>
      </c>
      <c r="CQ43" s="24">
        <f t="shared" si="77"/>
        <v>1.2201254999999986</v>
      </c>
      <c r="CR43" s="23">
        <f t="shared" si="78"/>
        <v>-7.6823837109339861</v>
      </c>
      <c r="CS43">
        <f t="shared" si="79"/>
        <v>5.9389501526314463</v>
      </c>
      <c r="CT43" s="24">
        <f t="shared" si="80"/>
        <v>1.1821695999999986</v>
      </c>
      <c r="CU43" s="23">
        <f t="shared" si="81"/>
        <v>-7.6733275730236379</v>
      </c>
      <c r="CV43">
        <f t="shared" si="82"/>
        <v>5.9610679365653931</v>
      </c>
      <c r="CW43" s="24">
        <f t="shared" si="83"/>
        <v>1.1442136999999986</v>
      </c>
      <c r="CY43" s="8">
        <f t="shared" si="129"/>
        <v>1.3660104930510737</v>
      </c>
      <c r="CZ43" s="8">
        <f t="shared" si="92"/>
        <v>1.3781402876503097</v>
      </c>
      <c r="DA43" s="8">
        <f t="shared" si="93"/>
        <v>1.3913371236505658</v>
      </c>
      <c r="DB43" s="8">
        <f t="shared" si="94"/>
        <v>1.4055522180549445</v>
      </c>
      <c r="DC43" s="8">
        <f t="shared" si="95"/>
        <v>1.4207348520998051</v>
      </c>
      <c r="DD43" s="8">
        <f t="shared" si="96"/>
        <v>1.4368328458606574</v>
      </c>
      <c r="DE43" s="8">
        <f t="shared" si="97"/>
        <v>1.4537930028182426</v>
      </c>
      <c r="DF43" s="8">
        <f t="shared" si="98"/>
        <v>1.471561518996106</v>
      </c>
      <c r="DG43" s="8">
        <f t="shared" si="99"/>
        <v>1.4900843531520871</v>
      </c>
      <c r="DH43" s="8">
        <f t="shared" si="100"/>
        <v>1.5093075561930334</v>
      </c>
      <c r="DI43" s="8">
        <f t="shared" si="101"/>
        <v>1.5291775594345542</v>
      </c>
      <c r="DJ43" s="8">
        <f t="shared" si="102"/>
        <v>1.5496414225217927</v>
      </c>
      <c r="DK43" s="8">
        <f t="shared" si="103"/>
        <v>1.5706470427601755</v>
      </c>
      <c r="DL43" s="8">
        <f t="shared" si="104"/>
        <v>1.5921433282903683</v>
      </c>
      <c r="DM43" s="8">
        <f t="shared" si="105"/>
        <v>1.6140803380036819</v>
      </c>
      <c r="DN43" s="8">
        <f t="shared" si="106"/>
        <v>1.6364093913636799</v>
      </c>
      <c r="DO43">
        <f t="shared" si="107"/>
        <v>1.6590831514101367</v>
      </c>
      <c r="DP43" s="8">
        <f t="shared" si="108"/>
        <v>1.6820556842058849</v>
      </c>
      <c r="DQ43">
        <f t="shared" si="109"/>
        <v>1.7052824978762338</v>
      </c>
      <c r="DR43" s="8">
        <f t="shared" si="110"/>
        <v>1.7287205642118704</v>
      </c>
      <c r="DS43">
        <f t="shared" si="111"/>
        <v>1.7523283255827116</v>
      </c>
      <c r="DT43" s="8">
        <f t="shared" si="112"/>
        <v>1.7760656896610449</v>
      </c>
      <c r="DU43">
        <f t="shared" si="113"/>
        <v>1.7998940141925197</v>
      </c>
      <c r="DV43" s="8">
        <f t="shared" si="114"/>
        <v>1.8237760837945065</v>
      </c>
      <c r="DW43">
        <f t="shared" si="115"/>
        <v>1.8476760805112493</v>
      </c>
      <c r="DX43" s="8">
        <f t="shared" si="116"/>
        <v>1.8715595496197832</v>
      </c>
      <c r="DY43">
        <f t="shared" si="117"/>
        <v>1.895393361963237</v>
      </c>
      <c r="DZ43" s="8">
        <f t="shared" si="118"/>
        <v>1.9191456738908388</v>
      </c>
      <c r="EA43">
        <f t="shared" si="119"/>
        <v>1.9427858857072828</v>
      </c>
      <c r="EB43" s="8">
        <f t="shared" si="120"/>
        <v>1.9662845993778839</v>
      </c>
      <c r="EC43">
        <f t="shared" si="121"/>
        <v>1.3660104930510737</v>
      </c>
      <c r="ED43" s="8">
        <f t="shared" si="122"/>
        <v>1.9662845993778839</v>
      </c>
      <c r="EF43" s="23">
        <f t="shared" si="123"/>
        <v>1.4056825114987728</v>
      </c>
      <c r="EG43" s="8">
        <f t="shared" si="84"/>
        <v>2.4588188874919328</v>
      </c>
      <c r="EH43">
        <f t="shared" si="124"/>
        <v>0.99150000000000005</v>
      </c>
      <c r="EI43" s="8">
        <f t="shared" si="125"/>
        <v>4.8560013989907054</v>
      </c>
    </row>
    <row r="44" spans="3:139" x14ac:dyDescent="0.3">
      <c r="G44" s="10"/>
      <c r="H44" s="10"/>
      <c r="I44" s="6">
        <v>26</v>
      </c>
      <c r="J44" s="6">
        <f t="shared" si="85"/>
        <v>0.23899999999999999</v>
      </c>
      <c r="K44" s="6">
        <f t="shared" si="128"/>
        <v>-0.32719910000000002</v>
      </c>
      <c r="L44" s="23">
        <f t="shared" si="130"/>
        <v>-7.5796167531299483</v>
      </c>
      <c r="M44">
        <f t="shared" si="87"/>
        <v>5.3090921812305281</v>
      </c>
      <c r="N44" s="24">
        <f t="shared" si="88"/>
        <v>2.2501707899999999</v>
      </c>
      <c r="O44" s="23">
        <f t="shared" si="89"/>
        <v>-7.5946332784962411</v>
      </c>
      <c r="P44">
        <f t="shared" si="90"/>
        <v>5.3276855662349716</v>
      </c>
      <c r="Q44" s="24">
        <f t="shared" si="91"/>
        <v>2.2174508799999999</v>
      </c>
      <c r="R44" s="23">
        <f t="shared" si="0"/>
        <v>-7.6090335009535277</v>
      </c>
      <c r="S44">
        <f t="shared" si="1"/>
        <v>5.3467602508504681</v>
      </c>
      <c r="T44" s="24">
        <f t="shared" si="2"/>
        <v>2.1847309699999999</v>
      </c>
      <c r="U44" s="23">
        <f t="shared" si="3"/>
        <v>-7.6228020051068706</v>
      </c>
      <c r="V44">
        <f t="shared" si="4"/>
        <v>5.3662958156843645</v>
      </c>
      <c r="W44" s="24">
        <f t="shared" si="5"/>
        <v>2.15201106</v>
      </c>
      <c r="X44" s="23">
        <f t="shared" si="6"/>
        <v>-7.6359240518138822</v>
      </c>
      <c r="Y44">
        <f t="shared" si="7"/>
        <v>5.3862713479731177</v>
      </c>
      <c r="Z44" s="24">
        <f t="shared" si="8"/>
        <v>2.11929115</v>
      </c>
      <c r="AA44" s="23">
        <f t="shared" si="9"/>
        <v>-7.6483855939629315</v>
      </c>
      <c r="AB44">
        <f t="shared" si="10"/>
        <v>5.4066654639693423</v>
      </c>
      <c r="AC44" s="24">
        <f t="shared" si="11"/>
        <v>2.08657124</v>
      </c>
      <c r="AD44" s="23">
        <f t="shared" si="12"/>
        <v>-7.6601732915105352</v>
      </c>
      <c r="AE44">
        <f t="shared" si="13"/>
        <v>5.427456331833052</v>
      </c>
      <c r="AF44" s="24">
        <f t="shared" si="14"/>
        <v>2.0538513300000001</v>
      </c>
      <c r="AG44" s="23">
        <f t="shared" si="15"/>
        <v>-7.6712745257618344</v>
      </c>
      <c r="AH44">
        <f t="shared" si="16"/>
        <v>5.4486216950025748</v>
      </c>
      <c r="AI44" s="24">
        <f t="shared" si="17"/>
        <v>2.0211314200000001</v>
      </c>
      <c r="AJ44" s="23">
        <f t="shared" si="18"/>
        <v>-7.6816774128788685</v>
      </c>
      <c r="AK44">
        <f t="shared" si="19"/>
        <v>5.4701388960201385</v>
      </c>
      <c r="AL44" s="24">
        <f t="shared" si="20"/>
        <v>1.9884115100000002</v>
      </c>
      <c r="AM44" s="23">
        <f t="shared" si="21"/>
        <v>-7.6913708166021904</v>
      </c>
      <c r="AN44">
        <f t="shared" si="22"/>
        <v>5.4919849007866102</v>
      </c>
      <c r="AO44" s="24">
        <f t="shared" si="23"/>
        <v>1.9556916000000002</v>
      </c>
      <c r="AP44" s="23">
        <f t="shared" si="24"/>
        <v>-7.7003443601721955</v>
      </c>
      <c r="AQ44">
        <f t="shared" si="25"/>
        <v>5.5141363232194296</v>
      </c>
      <c r="AR44" s="24">
        <f t="shared" si="26"/>
        <v>1.9229716900000002</v>
      </c>
      <c r="AS44" s="23">
        <f t="shared" si="27"/>
        <v>-7.7085884374374158</v>
      </c>
      <c r="AT44">
        <f t="shared" si="28"/>
        <v>5.5365694502873417</v>
      </c>
      <c r="AU44" s="24">
        <f t="shared" si="29"/>
        <v>1.8902517800000003</v>
      </c>
      <c r="AV44" s="23">
        <f t="shared" si="30"/>
        <v>-7.7160942231378717</v>
      </c>
      <c r="AW44">
        <f t="shared" si="31"/>
        <v>5.5592602673951239</v>
      </c>
      <c r="AX44" s="24">
        <f t="shared" si="32"/>
        <v>1.8575318700000003</v>
      </c>
      <c r="AY44" s="23">
        <f t="shared" si="33"/>
        <v>-7.7228536823524907</v>
      </c>
      <c r="AZ44">
        <f t="shared" si="34"/>
        <v>5.5821844840911403</v>
      </c>
      <c r="BA44" s="24">
        <f t="shared" si="35"/>
        <v>1.8248119600000003</v>
      </c>
      <c r="BB44" s="23">
        <f t="shared" si="36"/>
        <v>-7.7288595791004626</v>
      </c>
      <c r="BC44">
        <f t="shared" si="37"/>
        <v>5.605317560070195</v>
      </c>
      <c r="BD44" s="24">
        <f t="shared" si="38"/>
        <v>1.7920920500000004</v>
      </c>
      <c r="BE44" s="23">
        <f t="shared" si="39"/>
        <v>-7.7341054840873387</v>
      </c>
      <c r="BF44">
        <f t="shared" si="40"/>
        <v>5.6286347314438556</v>
      </c>
      <c r="BG44" s="24">
        <f t="shared" si="41"/>
        <v>1.7593721400000004</v>
      </c>
      <c r="BH44" s="23">
        <f t="shared" si="42"/>
        <v>-7.7385857815875685</v>
      </c>
      <c r="BI44">
        <f t="shared" si="43"/>
        <v>5.6521110372501244</v>
      </c>
      <c r="BJ44" s="24">
        <f t="shared" si="44"/>
        <v>1.7266522300000005</v>
      </c>
      <c r="BK44" s="23">
        <f t="shared" si="45"/>
        <v>-7.7422956754561199</v>
      </c>
      <c r="BL44">
        <f t="shared" si="46"/>
        <v>5.6757213461740683</v>
      </c>
      <c r="BM44" s="24">
        <f t="shared" si="47"/>
        <v>1.6939323200000005</v>
      </c>
      <c r="BN44" s="23">
        <f t="shared" si="48"/>
        <v>-7.745231194262737</v>
      </c>
      <c r="BO44">
        <f t="shared" si="49"/>
        <v>5.6994403834508214</v>
      </c>
      <c r="BP44" s="24">
        <f t="shared" si="50"/>
        <v>1.6612124100000005</v>
      </c>
      <c r="BQ44" s="23">
        <f t="shared" si="51"/>
        <v>-7.7473891955433452</v>
      </c>
      <c r="BR44">
        <f t="shared" si="52"/>
        <v>5.7232427579221401</v>
      </c>
      <c r="BS44" s="24">
        <f t="shared" si="53"/>
        <v>1.6284925000000006</v>
      </c>
      <c r="BT44" s="23">
        <f t="shared" si="54"/>
        <v>-7.7487673691640477</v>
      </c>
      <c r="BU44">
        <f t="shared" si="55"/>
        <v>5.7471029892175656</v>
      </c>
      <c r="BV44" s="24">
        <f t="shared" si="56"/>
        <v>1.5957725900000006</v>
      </c>
      <c r="BW44" s="23">
        <f t="shared" si="57"/>
        <v>-7.7493642397941178</v>
      </c>
      <c r="BX44">
        <f t="shared" si="58"/>
        <v>5.7709955350310818</v>
      </c>
      <c r="BY44" s="24">
        <f t="shared" si="59"/>
        <v>1.5630526800000006</v>
      </c>
      <c r="BZ44" s="23">
        <f t="shared" si="60"/>
        <v>-7.7491791684853375</v>
      </c>
      <c r="CA44">
        <f t="shared" si="61"/>
        <v>5.7948948184640772</v>
      </c>
      <c r="CB44" s="24">
        <f t="shared" si="62"/>
        <v>1.5303327700000007</v>
      </c>
      <c r="CC44" s="23">
        <f t="shared" si="63"/>
        <v>-7.7482123533559868</v>
      </c>
      <c r="CD44">
        <f t="shared" si="64"/>
        <v>5.8187752554053409</v>
      </c>
      <c r="CE44" s="24">
        <f t="shared" si="65"/>
        <v>1.4976128600000007</v>
      </c>
      <c r="CF44" s="23">
        <f t="shared" si="66"/>
        <v>-7.7464648293787617</v>
      </c>
      <c r="CG44">
        <f t="shared" si="67"/>
        <v>5.8426112819187725</v>
      </c>
      <c r="CH44" s="24">
        <f t="shared" si="68"/>
        <v>1.4648929500000007</v>
      </c>
      <c r="CI44" s="23">
        <f t="shared" si="69"/>
        <v>-7.7439384672728373</v>
      </c>
      <c r="CJ44">
        <f t="shared" si="70"/>
        <v>5.8663773816095031</v>
      </c>
      <c r="CK44" s="24">
        <f t="shared" si="71"/>
        <v>1.4321730400000008</v>
      </c>
      <c r="CL44" s="23">
        <f t="shared" si="72"/>
        <v>-7.7406359715012671</v>
      </c>
      <c r="CM44">
        <f t="shared" si="73"/>
        <v>5.8900481129391169</v>
      </c>
      <c r="CN44" s="24">
        <f t="shared" si="74"/>
        <v>1.3994531300000008</v>
      </c>
      <c r="CO44" s="23">
        <f t="shared" si="75"/>
        <v>-7.7365608773758678</v>
      </c>
      <c r="CP44">
        <f t="shared" si="76"/>
        <v>5.9135981364607426</v>
      </c>
      <c r="CQ44" s="24">
        <f t="shared" si="77"/>
        <v>1.3667332200000009</v>
      </c>
      <c r="CR44" s="23">
        <f t="shared" si="78"/>
        <v>-7.7317175472726731</v>
      </c>
      <c r="CS44">
        <f t="shared" si="79"/>
        <v>5.9370022419448558</v>
      </c>
      <c r="CT44" s="24">
        <f t="shared" si="80"/>
        <v>1.3340133100000009</v>
      </c>
      <c r="CU44" s="23">
        <f t="shared" si="81"/>
        <v>-7.7261111659620285</v>
      </c>
      <c r="CV44">
        <f t="shared" si="82"/>
        <v>5.9602353753667527</v>
      </c>
      <c r="CW44" s="24">
        <f t="shared" si="83"/>
        <v>1.3012934000000009</v>
      </c>
      <c r="CY44" s="8">
        <f t="shared" si="129"/>
        <v>1.3660104930510737</v>
      </c>
      <c r="CZ44" s="8">
        <f t="shared" si="92"/>
        <v>1.378032774275755</v>
      </c>
      <c r="DA44" s="8">
        <f t="shared" si="93"/>
        <v>1.3910221592863257</v>
      </c>
      <c r="DB44" s="8">
        <f t="shared" si="94"/>
        <v>1.4049381214447387</v>
      </c>
      <c r="DC44" s="8">
        <f t="shared" si="95"/>
        <v>1.4197387463751854</v>
      </c>
      <c r="DD44" s="8">
        <f t="shared" si="96"/>
        <v>1.4353810790123966</v>
      </c>
      <c r="DE44" s="8">
        <f t="shared" si="97"/>
        <v>1.4518214483848608</v>
      </c>
      <c r="DF44" s="8">
        <f t="shared" si="98"/>
        <v>1.4690157667755979</v>
      </c>
      <c r="DG44" s="8">
        <f t="shared" si="99"/>
        <v>1.4869198010754034</v>
      </c>
      <c r="DH44" s="8">
        <f t="shared" si="100"/>
        <v>1.5054894151996381</v>
      </c>
      <c r="DI44" s="8">
        <f t="shared" si="101"/>
        <v>1.5246807833529623</v>
      </c>
      <c r="DJ44" s="8">
        <f t="shared" si="102"/>
        <v>1.544450574683865</v>
      </c>
      <c r="DK44" s="8">
        <f t="shared" si="103"/>
        <v>1.5647561104709349</v>
      </c>
      <c r="DL44" s="8">
        <f t="shared" si="104"/>
        <v>1.5855554954328905</v>
      </c>
      <c r="DM44" s="8">
        <f t="shared" si="105"/>
        <v>1.6068077250678314</v>
      </c>
      <c r="DN44" s="8">
        <f t="shared" si="106"/>
        <v>1.6284727711211937</v>
      </c>
      <c r="DO44">
        <f t="shared" si="107"/>
        <v>1.6505116473754173</v>
      </c>
      <c r="DP44" s="8">
        <f t="shared" si="108"/>
        <v>1.6728864579663365</v>
      </c>
      <c r="DQ44">
        <f t="shared" si="109"/>
        <v>1.6955604303800027</v>
      </c>
      <c r="DR44" s="8">
        <f t="shared" si="110"/>
        <v>1.7184979351852478</v>
      </c>
      <c r="DS44">
        <f t="shared" si="111"/>
        <v>1.7416644944262256</v>
      </c>
      <c r="DT44" s="8">
        <f t="shared" si="112"/>
        <v>1.7650267804472324</v>
      </c>
      <c r="DU44">
        <f t="shared" si="113"/>
        <v>1.788552606759221</v>
      </c>
      <c r="DV44" s="8">
        <f t="shared" si="114"/>
        <v>1.8122109123910866</v>
      </c>
      <c r="DW44">
        <f t="shared" si="115"/>
        <v>1.8359717410049081</v>
      </c>
      <c r="DX44" s="8">
        <f t="shared" si="116"/>
        <v>1.8598062158970647</v>
      </c>
      <c r="DY44">
        <f t="shared" si="117"/>
        <v>1.8836865118592965</v>
      </c>
      <c r="DZ44" s="8">
        <f t="shared" si="118"/>
        <v>1.907585824737257</v>
      </c>
      <c r="EA44">
        <f t="shared" si="119"/>
        <v>1.9314783393997452</v>
      </c>
      <c r="EB44" s="8">
        <f t="shared" si="120"/>
        <v>1.9553391967199465</v>
      </c>
      <c r="EC44">
        <f t="shared" si="121"/>
        <v>1.3660104930510737</v>
      </c>
      <c r="ED44" s="8">
        <f t="shared" si="122"/>
        <v>1.9553391967199465</v>
      </c>
      <c r="EF44" s="23">
        <f t="shared" si="123"/>
        <v>1.2477263514114112</v>
      </c>
      <c r="EG44" s="8">
        <f t="shared" si="84"/>
        <v>2.4588188874919328</v>
      </c>
      <c r="EH44">
        <f t="shared" si="124"/>
        <v>0.99150000000000005</v>
      </c>
      <c r="EI44" s="8">
        <f t="shared" si="125"/>
        <v>4.6980452389033438</v>
      </c>
    </row>
    <row r="45" spans="3:139" x14ac:dyDescent="0.3">
      <c r="G45" s="10"/>
      <c r="H45" s="10"/>
      <c r="I45" s="6">
        <v>27</v>
      </c>
      <c r="J45" s="6">
        <f t="shared" si="85"/>
        <v>0.23899999999999999</v>
      </c>
      <c r="K45" s="6">
        <f t="shared" si="128"/>
        <v>-0.27483920000000001</v>
      </c>
      <c r="L45" s="23">
        <f t="shared" si="130"/>
        <v>-7.5796167531299483</v>
      </c>
      <c r="M45">
        <f t="shared" si="87"/>
        <v>5.3090921812305281</v>
      </c>
      <c r="N45" s="24">
        <f t="shared" si="88"/>
        <v>2.2554067799999999</v>
      </c>
      <c r="O45" s="23">
        <f t="shared" si="89"/>
        <v>-7.5947304269863611</v>
      </c>
      <c r="P45">
        <f t="shared" si="90"/>
        <v>5.3276066853438442</v>
      </c>
      <c r="Q45" s="24">
        <f t="shared" si="91"/>
        <v>2.2279228600000001</v>
      </c>
      <c r="R45" s="23">
        <f t="shared" si="0"/>
        <v>-7.6093296059346187</v>
      </c>
      <c r="S45">
        <f t="shared" si="1"/>
        <v>5.3465295279959602</v>
      </c>
      <c r="T45" s="24">
        <f t="shared" si="2"/>
        <v>2.2004389400000002</v>
      </c>
      <c r="U45" s="23">
        <f t="shared" si="3"/>
        <v>-7.6234032629475266</v>
      </c>
      <c r="V45">
        <f t="shared" si="4"/>
        <v>5.3658464164173134</v>
      </c>
      <c r="W45" s="24">
        <f t="shared" si="5"/>
        <v>2.1729550200000003</v>
      </c>
      <c r="X45" s="23">
        <f t="shared" si="6"/>
        <v>-7.6369407679342318</v>
      </c>
      <c r="Y45">
        <f t="shared" si="7"/>
        <v>5.3855427602083559</v>
      </c>
      <c r="Z45" s="24">
        <f t="shared" si="8"/>
        <v>2.1454711000000004</v>
      </c>
      <c r="AA45" s="23">
        <f t="shared" si="9"/>
        <v>-7.6499318957693241</v>
      </c>
      <c r="AB45">
        <f t="shared" si="10"/>
        <v>5.4056036823599491</v>
      </c>
      <c r="AC45" s="24">
        <f t="shared" si="11"/>
        <v>2.1179871800000005</v>
      </c>
      <c r="AD45" s="23">
        <f t="shared" si="12"/>
        <v>-7.6623668340160602</v>
      </c>
      <c r="AE45">
        <f t="shared" si="13"/>
        <v>5.4260140304902444</v>
      </c>
      <c r="AF45" s="24">
        <f t="shared" si="14"/>
        <v>2.0905032600000006</v>
      </c>
      <c r="AG45" s="23">
        <f t="shared" si="15"/>
        <v>-7.6742361903378784</v>
      </c>
      <c r="AH45">
        <f t="shared" si="16"/>
        <v>5.4467583882895525</v>
      </c>
      <c r="AI45" s="24">
        <f t="shared" si="17"/>
        <v>2.0630193400000008</v>
      </c>
      <c r="AJ45" s="23">
        <f t="shared" si="18"/>
        <v>-7.6855309995926024</v>
      </c>
      <c r="AK45">
        <f t="shared" si="19"/>
        <v>5.4678210871645643</v>
      </c>
      <c r="AL45" s="24">
        <f t="shared" si="20"/>
        <v>2.0355354200000009</v>
      </c>
      <c r="AM45" s="23">
        <f t="shared" si="21"/>
        <v>-7.6962427306039745</v>
      </c>
      <c r="AN45">
        <f t="shared" si="22"/>
        <v>5.4891862180731268</v>
      </c>
      <c r="AO45" s="24">
        <f t="shared" si="23"/>
        <v>2.008051500000001</v>
      </c>
      <c r="AP45" s="23">
        <f t="shared" si="24"/>
        <v>-7.7063632926054133</v>
      </c>
      <c r="AQ45">
        <f t="shared" si="25"/>
        <v>5.5108376435406345</v>
      </c>
      <c r="AR45" s="24">
        <f t="shared" si="26"/>
        <v>1.9805675800000009</v>
      </c>
      <c r="AS45" s="23">
        <f t="shared" si="27"/>
        <v>-7.7158850413511155</v>
      </c>
      <c r="AT45">
        <f t="shared" si="28"/>
        <v>5.5327590098489585</v>
      </c>
      <c r="AU45" s="24">
        <f t="shared" si="29"/>
        <v>1.9530836600000008</v>
      </c>
      <c r="AV45" s="23">
        <f t="shared" si="30"/>
        <v>-7.7248007848898936</v>
      </c>
      <c r="AW45">
        <f t="shared" si="31"/>
        <v>5.5549337593887103</v>
      </c>
      <c r="AX45" s="24">
        <f t="shared" si="32"/>
        <v>1.9255997400000007</v>
      </c>
      <c r="AY45" s="23">
        <f t="shared" si="33"/>
        <v>-7.7331037889973917</v>
      </c>
      <c r="AZ45">
        <f t="shared" si="34"/>
        <v>5.5773451431655072</v>
      </c>
      <c r="BA45" s="24">
        <f t="shared" si="35"/>
        <v>1.8981158200000006</v>
      </c>
      <c r="BB45" s="23">
        <f t="shared" si="36"/>
        <v>-7.7407877822625659</v>
      </c>
      <c r="BC45">
        <f t="shared" si="37"/>
        <v>5.5999762334507928</v>
      </c>
      <c r="BD45" s="24">
        <f t="shared" si="38"/>
        <v>1.8706319000000005</v>
      </c>
      <c r="BE45" s="23">
        <f t="shared" si="39"/>
        <v>-7.7478469608245959</v>
      </c>
      <c r="BF45">
        <f t="shared" si="40"/>
        <v>5.6228099365676627</v>
      </c>
      <c r="BG45" s="24">
        <f t="shared" si="41"/>
        <v>1.8431479800000004</v>
      </c>
      <c r="BH45" s="23">
        <f t="shared" si="42"/>
        <v>-7.7542759927566491</v>
      </c>
      <c r="BI45">
        <f t="shared" si="43"/>
        <v>5.6458290058020308</v>
      </c>
      <c r="BJ45" s="24">
        <f t="shared" si="44"/>
        <v>1.8156640600000002</v>
      </c>
      <c r="BK45" s="23">
        <f t="shared" si="45"/>
        <v>-7.7600700220931813</v>
      </c>
      <c r="BL45">
        <f t="shared" si="46"/>
        <v>5.6690160544293873</v>
      </c>
      <c r="BM45" s="24">
        <f t="shared" si="47"/>
        <v>1.7881801400000001</v>
      </c>
      <c r="BN45" s="23">
        <f t="shared" si="48"/>
        <v>-7.7652246724977365</v>
      </c>
      <c r="BO45">
        <f t="shared" si="49"/>
        <v>5.6923535688473113</v>
      </c>
      <c r="BP45" s="24">
        <f t="shared" si="50"/>
        <v>1.76069622</v>
      </c>
      <c r="BQ45" s="23">
        <f t="shared" si="51"/>
        <v>-7.7697360505684747</v>
      </c>
      <c r="BR45">
        <f t="shared" si="52"/>
        <v>5.7158239218038149</v>
      </c>
      <c r="BS45" s="24">
        <f t="shared" si="53"/>
        <v>1.7332122999999999</v>
      </c>
      <c r="BT45" s="23">
        <f t="shared" si="54"/>
        <v>-7.7736007487789269</v>
      </c>
      <c r="BU45">
        <f t="shared" si="55"/>
        <v>5.7394093857115296</v>
      </c>
      <c r="BV45" s="24">
        <f t="shared" si="56"/>
        <v>1.7057283799999998</v>
      </c>
      <c r="BW45" s="23">
        <f t="shared" si="57"/>
        <v>-7.7768158480517666</v>
      </c>
      <c r="BX45">
        <f t="shared" si="58"/>
        <v>5.7630921460376783</v>
      </c>
      <c r="BY45" s="24">
        <f t="shared" si="59"/>
        <v>1.6782444599999997</v>
      </c>
      <c r="BZ45" s="23">
        <f t="shared" si="60"/>
        <v>-7.7793789199636398</v>
      </c>
      <c r="CA45">
        <f t="shared" si="61"/>
        <v>5.7868543147597151</v>
      </c>
      <c r="CB45" s="24">
        <f t="shared" si="62"/>
        <v>1.6507605399999996</v>
      </c>
      <c r="CC45" s="23">
        <f t="shared" si="63"/>
        <v>-7.7812880285793966</v>
      </c>
      <c r="CD45">
        <f t="shared" si="64"/>
        <v>5.810677943876482</v>
      </c>
      <c r="CE45" s="24">
        <f t="shared" si="65"/>
        <v>1.6232766199999995</v>
      </c>
      <c r="CF45" s="23">
        <f t="shared" si="66"/>
        <v>-7.7825417319143408</v>
      </c>
      <c r="CG45">
        <f t="shared" si="67"/>
        <v>5.8345450389646558</v>
      </c>
      <c r="CH45" s="24">
        <f t="shared" si="68"/>
        <v>1.5957926999999994</v>
      </c>
      <c r="CI45" s="23">
        <f t="shared" si="69"/>
        <v>-7.7831390830233866</v>
      </c>
      <c r="CJ45">
        <f t="shared" si="70"/>
        <v>5.8584375727702724</v>
      </c>
      <c r="CK45" s="24">
        <f t="shared" si="71"/>
        <v>1.5683087799999993</v>
      </c>
      <c r="CL45" s="23">
        <f t="shared" si="72"/>
        <v>-7.783079630716303</v>
      </c>
      <c r="CM45">
        <f t="shared" si="73"/>
        <v>5.8823374988250361</v>
      </c>
      <c r="CN45" s="24">
        <f t="shared" si="74"/>
        <v>1.5408248599999992</v>
      </c>
      <c r="CO45" s="23">
        <f t="shared" si="75"/>
        <v>-7.7823634198985054</v>
      </c>
      <c r="CP45">
        <f t="shared" si="76"/>
        <v>5.9062267650771521</v>
      </c>
      <c r="CQ45" s="24">
        <f t="shared" si="77"/>
        <v>1.5133409399999991</v>
      </c>
      <c r="CR45" s="23">
        <f t="shared" si="78"/>
        <v>-7.7809909915371396</v>
      </c>
      <c r="CS45">
        <f t="shared" si="79"/>
        <v>5.9300873275263681</v>
      </c>
      <c r="CT45" s="24">
        <f t="shared" si="80"/>
        <v>1.485857019999999</v>
      </c>
      <c r="CU45" s="23">
        <f t="shared" si="81"/>
        <v>-7.7789633822524786</v>
      </c>
      <c r="CV45">
        <f t="shared" si="82"/>
        <v>5.9539011638529402</v>
      </c>
      <c r="CW45" s="24">
        <f t="shared" si="83"/>
        <v>1.4583730999999989</v>
      </c>
      <c r="CY45" s="8">
        <f t="shared" si="129"/>
        <v>1.3660104930510737</v>
      </c>
      <c r="CZ45" s="8">
        <f t="shared" si="92"/>
        <v>1.3779249300097778</v>
      </c>
      <c r="DA45" s="8">
        <f t="shared" si="93"/>
        <v>1.3907054422298097</v>
      </c>
      <c r="DB45" s="8">
        <f t="shared" si="94"/>
        <v>1.4043188681597625</v>
      </c>
      <c r="DC45" s="8">
        <f t="shared" si="95"/>
        <v>1.418731102871456</v>
      </c>
      <c r="DD45" s="8">
        <f t="shared" si="96"/>
        <v>1.4339073443483983</v>
      </c>
      <c r="DE45" s="8">
        <f t="shared" si="97"/>
        <v>1.4498123236282103</v>
      </c>
      <c r="DF45" s="8">
        <f t="shared" si="98"/>
        <v>1.4664105168422368</v>
      </c>
      <c r="DG45" s="8">
        <f t="shared" si="99"/>
        <v>1.4836663378973702</v>
      </c>
      <c r="DH45" s="8">
        <f t="shared" si="100"/>
        <v>1.5015443111757882</v>
      </c>
      <c r="DI45" s="8">
        <f t="shared" si="101"/>
        <v>1.5200092241747654</v>
      </c>
      <c r="DJ45" s="8">
        <f t="shared" si="102"/>
        <v>1.5390262604648235</v>
      </c>
      <c r="DK45" s="8">
        <f t="shared" si="103"/>
        <v>1.5585611137097954</v>
      </c>
      <c r="DL45" s="8">
        <f t="shared" si="104"/>
        <v>1.5785800837709607</v>
      </c>
      <c r="DM45" s="8">
        <f t="shared" si="105"/>
        <v>1.5990501561165011</v>
      </c>
      <c r="DN45" s="8">
        <f t="shared" si="106"/>
        <v>1.6199390658863257</v>
      </c>
      <c r="DO45">
        <f t="shared" si="107"/>
        <v>1.6412153480310308</v>
      </c>
      <c r="DP45" s="8">
        <f t="shared" si="108"/>
        <v>1.6628483749628722</v>
      </c>
      <c r="DQ45">
        <f t="shared" si="109"/>
        <v>1.6848083831361209</v>
      </c>
      <c r="DR45" s="8">
        <f t="shared" si="110"/>
        <v>1.7070664899233288</v>
      </c>
      <c r="DS45">
        <f t="shared" si="111"/>
        <v>1.729594702081092</v>
      </c>
      <c r="DT45" s="8">
        <f t="shared" si="112"/>
        <v>1.7523659170109034</v>
      </c>
      <c r="DU45">
        <f t="shared" si="113"/>
        <v>1.7753539179235676</v>
      </c>
      <c r="DV45" s="8">
        <f t="shared" si="114"/>
        <v>1.7985333639141925</v>
      </c>
      <c r="DW45">
        <f t="shared" si="115"/>
        <v>1.8218797758526919</v>
      </c>
      <c r="DX45" s="8">
        <f t="shared" si="116"/>
        <v>1.845369518894975</v>
      </c>
      <c r="DY45">
        <f t="shared" si="117"/>
        <v>1.8689797823244869</v>
      </c>
      <c r="DZ45" s="8">
        <f t="shared" si="118"/>
        <v>1.8926885573440955</v>
      </c>
      <c r="EA45">
        <f t="shared" si="119"/>
        <v>1.9164746133551931</v>
      </c>
      <c r="EB45" s="8">
        <f t="shared" si="120"/>
        <v>1.9403174731849466</v>
      </c>
      <c r="EC45">
        <f t="shared" si="121"/>
        <v>1.3660104930510737</v>
      </c>
      <c r="ED45" s="8">
        <f t="shared" si="122"/>
        <v>1.9403174731849466</v>
      </c>
      <c r="EF45" s="23">
        <f t="shared" si="123"/>
        <v>1.0896340410897745</v>
      </c>
      <c r="EG45" s="8">
        <f t="shared" si="84"/>
        <v>2.4588188874919328</v>
      </c>
      <c r="EH45">
        <f t="shared" si="124"/>
        <v>0.99150000000000005</v>
      </c>
      <c r="EI45" s="8">
        <f t="shared" si="125"/>
        <v>4.5399529285817071</v>
      </c>
    </row>
    <row r="46" spans="3:139" x14ac:dyDescent="0.3">
      <c r="G46" s="10"/>
      <c r="H46" s="10"/>
      <c r="I46" s="6">
        <v>28</v>
      </c>
      <c r="J46" s="6">
        <f t="shared" si="85"/>
        <v>0.23899999999999999</v>
      </c>
      <c r="K46" s="6">
        <f t="shared" si="128"/>
        <v>-0.22247929999999999</v>
      </c>
      <c r="L46" s="23">
        <f t="shared" si="130"/>
        <v>-7.5796167531299483</v>
      </c>
      <c r="M46">
        <f t="shared" si="87"/>
        <v>5.3090921812305281</v>
      </c>
      <c r="N46" s="24">
        <f t="shared" si="88"/>
        <v>2.26064277</v>
      </c>
      <c r="O46" s="23">
        <f t="shared" si="89"/>
        <v>-7.5948271611271219</v>
      </c>
      <c r="P46">
        <f t="shared" si="90"/>
        <v>5.3275272968677978</v>
      </c>
      <c r="Q46" s="24">
        <f t="shared" si="91"/>
        <v>2.2383948400000002</v>
      </c>
      <c r="R46" s="23">
        <f t="shared" si="0"/>
        <v>-7.6096236956004892</v>
      </c>
      <c r="S46">
        <f t="shared" si="1"/>
        <v>5.3462962224518176</v>
      </c>
      <c r="T46" s="24">
        <f t="shared" si="2"/>
        <v>2.2161469100000004</v>
      </c>
      <c r="U46" s="23">
        <f t="shared" si="3"/>
        <v>-7.623999033005707</v>
      </c>
      <c r="V46">
        <f t="shared" si="4"/>
        <v>5.3653896683033695</v>
      </c>
      <c r="W46" s="24">
        <f t="shared" si="5"/>
        <v>2.1938989800000006</v>
      </c>
      <c r="X46" s="23">
        <f t="shared" si="6"/>
        <v>-7.6379460582699101</v>
      </c>
      <c r="Y46">
        <f t="shared" si="7"/>
        <v>5.384798184121939</v>
      </c>
      <c r="Z46" s="24">
        <f t="shared" si="8"/>
        <v>2.1716510500000008</v>
      </c>
      <c r="AA46" s="23">
        <f t="shared" si="9"/>
        <v>-7.651457868313317</v>
      </c>
      <c r="AB46">
        <f t="shared" si="10"/>
        <v>5.4045121636631404</v>
      </c>
      <c r="AC46" s="24">
        <f t="shared" si="11"/>
        <v>2.149403120000001</v>
      </c>
      <c r="AD46" s="23">
        <f t="shared" si="12"/>
        <v>-7.6645277754659062</v>
      </c>
      <c r="AE46">
        <f t="shared" si="13"/>
        <v>5.4245218494933249</v>
      </c>
      <c r="AF46" s="24">
        <f t="shared" si="14"/>
        <v>2.1271551900000012</v>
      </c>
      <c r="AG46" s="23">
        <f t="shared" si="15"/>
        <v>-7.677149310777482</v>
      </c>
      <c r="AH46">
        <f t="shared" si="16"/>
        <v>5.4448173378190257</v>
      </c>
      <c r="AI46" s="24">
        <f t="shared" si="17"/>
        <v>2.1049072600000014</v>
      </c>
      <c r="AJ46" s="23">
        <f t="shared" si="18"/>
        <v>-7.6893162272194786</v>
      </c>
      <c r="AK46">
        <f t="shared" si="19"/>
        <v>5.4653885833888367</v>
      </c>
      <c r="AL46" s="24">
        <f t="shared" si="20"/>
        <v>2.0826593300000016</v>
      </c>
      <c r="AM46" s="23">
        <f t="shared" si="21"/>
        <v>-7.7010225027769277</v>
      </c>
      <c r="AN46">
        <f t="shared" si="22"/>
        <v>5.4862254044653129</v>
      </c>
      <c r="AO46" s="24">
        <f t="shared" si="23"/>
        <v>2.0604114000000018</v>
      </c>
      <c r="AP46" s="23">
        <f t="shared" si="24"/>
        <v>-7.712262343429054</v>
      </c>
      <c r="AQ46">
        <f t="shared" si="25"/>
        <v>5.5073174878644178</v>
      </c>
      <c r="AR46" s="24">
        <f t="shared" si="26"/>
        <v>2.038163470000002</v>
      </c>
      <c r="AS46" s="23">
        <f t="shared" si="27"/>
        <v>-7.7230301860170272</v>
      </c>
      <c r="AT46">
        <f t="shared" si="28"/>
        <v>5.5286543940600366</v>
      </c>
      <c r="AU46" s="24">
        <f t="shared" si="29"/>
        <v>2.0159155400000022</v>
      </c>
      <c r="AV46" s="23">
        <f t="shared" si="30"/>
        <v>-7.7333207009974458</v>
      </c>
      <c r="AW46">
        <f t="shared" si="31"/>
        <v>5.5502255623510166</v>
      </c>
      <c r="AX46" s="24">
        <f t="shared" si="32"/>
        <v>1.9936676100000021</v>
      </c>
      <c r="AY46" s="23">
        <f t="shared" si="33"/>
        <v>-7.743128795080195</v>
      </c>
      <c r="AZ46">
        <f t="shared" si="34"/>
        <v>5.5720203160881878</v>
      </c>
      <c r="BA46" s="24">
        <f t="shared" si="35"/>
        <v>1.9714196800000021</v>
      </c>
      <c r="BB46" s="23">
        <f t="shared" si="36"/>
        <v>-7.7524496137493699</v>
      </c>
      <c r="BC46">
        <f t="shared" si="37"/>
        <v>5.5940278679587703</v>
      </c>
      <c r="BD46" s="24">
        <f t="shared" si="38"/>
        <v>1.9491717500000021</v>
      </c>
      <c r="BE46" s="23">
        <f t="shared" si="39"/>
        <v>-7.7612785436660188</v>
      </c>
      <c r="BF46">
        <f t="shared" si="40"/>
        <v>5.6162373253255522</v>
      </c>
      <c r="BG46" s="24">
        <f t="shared" si="41"/>
        <v>1.9269238200000021</v>
      </c>
      <c r="BH46" s="23">
        <f t="shared" si="42"/>
        <v>-7.7696112149515155</v>
      </c>
      <c r="BI46">
        <f t="shared" si="43"/>
        <v>5.6386376956182023</v>
      </c>
      <c r="BJ46" s="24">
        <f t="shared" si="44"/>
        <v>1.904675890000002</v>
      </c>
      <c r="BK46" s="23">
        <f t="shared" si="45"/>
        <v>-7.7774435033504297</v>
      </c>
      <c r="BL46">
        <f t="shared" si="46"/>
        <v>5.6612178917740428</v>
      </c>
      <c r="BM46" s="24">
        <f t="shared" si="47"/>
        <v>1.882427960000002</v>
      </c>
      <c r="BN46" s="23">
        <f t="shared" si="48"/>
        <v>-7.7847715322718267</v>
      </c>
      <c r="BO46">
        <f t="shared" si="49"/>
        <v>5.6839667377255889</v>
      </c>
      <c r="BP46" s="24">
        <f t="shared" si="50"/>
        <v>1.860180030000002</v>
      </c>
      <c r="BQ46" s="23">
        <f t="shared" si="51"/>
        <v>-7.7915916747079876</v>
      </c>
      <c r="BR46">
        <f t="shared" si="52"/>
        <v>5.7068729739321435</v>
      </c>
      <c r="BS46" s="24">
        <f t="shared" si="53"/>
        <v>1.837932100000002</v>
      </c>
      <c r="BT46" s="23">
        <f t="shared" si="54"/>
        <v>-7.7979005550295959</v>
      </c>
      <c r="BU46">
        <f t="shared" si="55"/>
        <v>5.7299252629527073</v>
      </c>
      <c r="BV46" s="24">
        <f t="shared" si="56"/>
        <v>1.8156841700000019</v>
      </c>
      <c r="BW46" s="23">
        <f t="shared" si="57"/>
        <v>-7.803695050656505</v>
      </c>
      <c r="BX46">
        <f t="shared" si="58"/>
        <v>5.7531121950574455</v>
      </c>
      <c r="BY46" s="24">
        <f t="shared" si="59"/>
        <v>1.7934362400000019</v>
      </c>
      <c r="BZ46" s="23">
        <f t="shared" si="60"/>
        <v>-7.8089722936032588</v>
      </c>
      <c r="CA46">
        <f t="shared" si="61"/>
        <v>5.7764222938749308</v>
      </c>
      <c r="CB46" s="24">
        <f t="shared" si="62"/>
        <v>1.7711883100000019</v>
      </c>
      <c r="CC46" s="23">
        <f t="shared" si="63"/>
        <v>-7.8137296718986011</v>
      </c>
      <c r="CD46">
        <f t="shared" si="64"/>
        <v>5.7998440220723761</v>
      </c>
      <c r="CE46" s="24">
        <f t="shared" si="65"/>
        <v>1.7489403800000018</v>
      </c>
      <c r="CF46" s="23">
        <f t="shared" si="66"/>
        <v>-7.8179648308782719</v>
      </c>
      <c r="CG46">
        <f t="shared" si="67"/>
        <v>5.8233657870660354</v>
      </c>
      <c r="CH46" s="24">
        <f t="shared" si="68"/>
        <v>1.7266924500000018</v>
      </c>
      <c r="CI46" s="23">
        <f t="shared" si="69"/>
        <v>-7.8216756743504474</v>
      </c>
      <c r="CJ46">
        <f t="shared" si="70"/>
        <v>5.8469759467589517</v>
      </c>
      <c r="CK46" s="24">
        <f t="shared" si="71"/>
        <v>1.7044445200000018</v>
      </c>
      <c r="CL46" s="23">
        <f t="shared" si="72"/>
        <v>-7.82486036563325</v>
      </c>
      <c r="CM46">
        <f t="shared" si="73"/>
        <v>5.8706628153032154</v>
      </c>
      <c r="CN46" s="24">
        <f t="shared" si="74"/>
        <v>1.6821965900000018</v>
      </c>
      <c r="CO46" s="23">
        <f t="shared" si="75"/>
        <v>-7.8275173284638146</v>
      </c>
      <c r="CP46">
        <f t="shared" si="76"/>
        <v>5.894414668883873</v>
      </c>
      <c r="CQ46" s="24">
        <f t="shared" si="77"/>
        <v>1.6599486600000017</v>
      </c>
      <c r="CR46" s="23">
        <f t="shared" si="78"/>
        <v>-7.8296452477784584</v>
      </c>
      <c r="CS46">
        <f t="shared" si="79"/>
        <v>5.9182197515216286</v>
      </c>
      <c r="CT46" s="24">
        <f t="shared" si="80"/>
        <v>1.6377007300000017</v>
      </c>
      <c r="CU46" s="23">
        <f t="shared" si="81"/>
        <v>-7.8312430703635734</v>
      </c>
      <c r="CV46">
        <f t="shared" si="82"/>
        <v>5.9420662808914653</v>
      </c>
      <c r="CW46" s="24">
        <f t="shared" si="83"/>
        <v>1.6154528000000017</v>
      </c>
      <c r="CY46" s="8">
        <f t="shared" si="129"/>
        <v>1.3660104930510737</v>
      </c>
      <c r="CZ46" s="8">
        <f t="shared" si="92"/>
        <v>1.3778167577316336</v>
      </c>
      <c r="DA46" s="8">
        <f t="shared" si="93"/>
        <v>1.390386997241551</v>
      </c>
      <c r="DB46" s="8">
        <f t="shared" si="94"/>
        <v>1.4036945525989708</v>
      </c>
      <c r="DC46" s="8">
        <f t="shared" si="95"/>
        <v>1.4177121707715197</v>
      </c>
      <c r="DD46" s="8">
        <f t="shared" si="96"/>
        <v>1.432412173082819</v>
      </c>
      <c r="DE46" s="8">
        <f t="shared" si="97"/>
        <v>1.4477666122291197</v>
      </c>
      <c r="DF46" s="8">
        <f t="shared" si="98"/>
        <v>1.4637474168678737</v>
      </c>
      <c r="DG46" s="8">
        <f t="shared" si="99"/>
        <v>1.4803265231369414</v>
      </c>
      <c r="DH46" s="8">
        <f t="shared" si="100"/>
        <v>1.4974759928180508</v>
      </c>
      <c r="DI46" s="8">
        <f t="shared" si="101"/>
        <v>1.5151681181654104</v>
      </c>
      <c r="DJ46" s="8">
        <f t="shared" si="102"/>
        <v>1.5333755136777212</v>
      </c>
      <c r="DK46" s="8">
        <f t="shared" si="103"/>
        <v>1.55207119529939</v>
      </c>
      <c r="DL46" s="8">
        <f t="shared" si="104"/>
        <v>1.5712286476969681</v>
      </c>
      <c r="DM46" s="8">
        <f t="shared" si="105"/>
        <v>1.5908218803733949</v>
      </c>
      <c r="DN46" s="8">
        <f t="shared" si="106"/>
        <v>1.6108254734603817</v>
      </c>
      <c r="DO46">
        <f t="shared" si="107"/>
        <v>1.6312146140734356</v>
      </c>
      <c r="DP46" s="8">
        <f t="shared" si="108"/>
        <v>1.6519651241299655</v>
      </c>
      <c r="DQ46">
        <f t="shared" si="109"/>
        <v>1.6730534805239197</v>
      </c>
      <c r="DR46" s="8">
        <f t="shared" si="110"/>
        <v>1.6944568285253523</v>
      </c>
      <c r="DS46">
        <f t="shared" si="111"/>
        <v>1.7161529892346103</v>
      </c>
      <c r="DT46" s="8">
        <f t="shared" si="112"/>
        <v>1.738120461872378</v>
      </c>
      <c r="DU46">
        <f t="shared" si="113"/>
        <v>1.7603384216319053</v>
      </c>
      <c r="DV46" s="8">
        <f t="shared" si="114"/>
        <v>1.782786713761161</v>
      </c>
      <c r="DW46">
        <f t="shared" si="115"/>
        <v>1.8054458444825641</v>
      </c>
      <c r="DX46" s="8">
        <f t="shared" si="116"/>
        <v>1.828296969298193</v>
      </c>
      <c r="DY46">
        <f t="shared" si="117"/>
        <v>1.8513218791702184</v>
      </c>
      <c r="DZ46" s="8">
        <f t="shared" si="118"/>
        <v>1.8745029850107537</v>
      </c>
      <c r="EA46">
        <f t="shared" si="119"/>
        <v>1.8978233008630636</v>
      </c>
      <c r="EB46" s="8">
        <f t="shared" si="120"/>
        <v>1.9212664261075014</v>
      </c>
      <c r="EC46">
        <f t="shared" si="121"/>
        <v>1.3660104930510737</v>
      </c>
      <c r="ED46" s="8">
        <f t="shared" si="122"/>
        <v>1.9212664261075014</v>
      </c>
      <c r="EF46" s="23">
        <f t="shared" si="123"/>
        <v>0.93141586634140516</v>
      </c>
      <c r="EG46" s="8">
        <f t="shared" si="84"/>
        <v>2.4588188874919328</v>
      </c>
      <c r="EH46">
        <f t="shared" si="124"/>
        <v>0.99150000000000005</v>
      </c>
      <c r="EI46" s="8">
        <f t="shared" si="125"/>
        <v>4.3817347538333378</v>
      </c>
    </row>
    <row r="47" spans="3:139" x14ac:dyDescent="0.3">
      <c r="G47" s="10"/>
      <c r="H47" s="10"/>
      <c r="I47" s="6">
        <v>29</v>
      </c>
      <c r="J47" s="6">
        <f t="shared" si="85"/>
        <v>0.23899999999999999</v>
      </c>
      <c r="K47" s="6">
        <f t="shared" si="128"/>
        <v>-0.17011939999999998</v>
      </c>
      <c r="L47" s="23">
        <f t="shared" si="130"/>
        <v>-7.5796167531299483</v>
      </c>
      <c r="M47">
        <f t="shared" si="87"/>
        <v>5.3090921812305281</v>
      </c>
      <c r="N47" s="24">
        <f t="shared" si="88"/>
        <v>2.2658787599999997</v>
      </c>
      <c r="O47" s="23">
        <f t="shared" si="89"/>
        <v>-7.5949234782665069</v>
      </c>
      <c r="P47">
        <f t="shared" si="90"/>
        <v>5.327447402983311</v>
      </c>
      <c r="Q47" s="24">
        <f t="shared" si="91"/>
        <v>2.2488668199999995</v>
      </c>
      <c r="R47" s="23">
        <f t="shared" si="0"/>
        <v>-7.6099157456568456</v>
      </c>
      <c r="S47">
        <f t="shared" si="1"/>
        <v>5.3460603532732724</v>
      </c>
      <c r="T47" s="24">
        <f t="shared" si="2"/>
        <v>2.2318548799999993</v>
      </c>
      <c r="U47" s="23">
        <f t="shared" si="3"/>
        <v>-7.6245892165519304</v>
      </c>
      <c r="V47">
        <f t="shared" si="4"/>
        <v>5.3649256455289223</v>
      </c>
      <c r="W47" s="24">
        <f t="shared" si="5"/>
        <v>2.2148429399999991</v>
      </c>
      <c r="X47" s="23">
        <f t="shared" si="6"/>
        <v>-7.6389396444621536</v>
      </c>
      <c r="Y47">
        <f t="shared" si="7"/>
        <v>5.3840378201512271</v>
      </c>
      <c r="Z47" s="24">
        <f t="shared" si="8"/>
        <v>2.197830999999999</v>
      </c>
      <c r="AA47" s="23">
        <f t="shared" si="9"/>
        <v>-7.6529628763862636</v>
      </c>
      <c r="AB47">
        <f t="shared" si="10"/>
        <v>5.4033913460936134</v>
      </c>
      <c r="AC47" s="24">
        <f t="shared" si="11"/>
        <v>2.1808190599999988</v>
      </c>
      <c r="AD47" s="23">
        <f t="shared" si="12"/>
        <v>-7.6666548540132409</v>
      </c>
      <c r="AE47">
        <f t="shared" si="13"/>
        <v>5.4229806224626467</v>
      </c>
      <c r="AF47" s="24">
        <f t="shared" si="14"/>
        <v>2.1638071199999986</v>
      </c>
      <c r="AG47" s="23">
        <f t="shared" si="15"/>
        <v>-7.6800116148967676</v>
      </c>
      <c r="AH47">
        <f t="shared" si="16"/>
        <v>5.4427999801389264</v>
      </c>
      <c r="AI47" s="24">
        <f t="shared" si="17"/>
        <v>2.1467951799999985</v>
      </c>
      <c r="AJ47" s="23">
        <f t="shared" si="18"/>
        <v>-7.6930292936019589</v>
      </c>
      <c r="AK47">
        <f t="shared" si="19"/>
        <v>5.4628436834177228</v>
      </c>
      <c r="AL47" s="24">
        <f t="shared" si="20"/>
        <v>2.1297832399999983</v>
      </c>
      <c r="AM47" s="23">
        <f t="shared" si="21"/>
        <v>-7.7057041228240131</v>
      </c>
      <c r="AN47">
        <f t="shared" si="22"/>
        <v>5.4831059316688853</v>
      </c>
      <c r="AO47" s="24">
        <f t="shared" si="23"/>
        <v>2.1127712999999981</v>
      </c>
      <c r="AP47" s="23">
        <f t="shared" si="24"/>
        <v>-7.718032434478471</v>
      </c>
      <c r="AQ47">
        <f t="shared" si="25"/>
        <v>5.5035808610155419</v>
      </c>
      <c r="AR47" s="24">
        <f t="shared" si="26"/>
        <v>2.095759359999998</v>
      </c>
      <c r="AS47" s="23">
        <f t="shared" si="27"/>
        <v>-7.7300106607627512</v>
      </c>
      <c r="AT47">
        <f t="shared" si="28"/>
        <v>5.5242625460310952</v>
      </c>
      <c r="AU47" s="24">
        <f t="shared" si="29"/>
        <v>2.0787474199999978</v>
      </c>
      <c r="AV47" s="23">
        <f t="shared" si="30"/>
        <v>-7.7416353351886729</v>
      </c>
      <c r="AW47">
        <f t="shared" si="31"/>
        <v>5.5451450014540411</v>
      </c>
      <c r="AX47" s="24">
        <f t="shared" si="32"/>
        <v>2.0617354799999976</v>
      </c>
      <c r="AY47" s="23">
        <f t="shared" si="33"/>
        <v>-7.7529030935856511</v>
      </c>
      <c r="AZ47">
        <f t="shared" si="34"/>
        <v>5.5662221839200949</v>
      </c>
      <c r="BA47" s="24">
        <f t="shared" si="35"/>
        <v>2.0447235399999975</v>
      </c>
      <c r="BB47" s="23">
        <f t="shared" si="36"/>
        <v>-7.7638106750742892</v>
      </c>
      <c r="BC47">
        <f t="shared" si="37"/>
        <v>5.5874879937111359</v>
      </c>
      <c r="BD47" s="24">
        <f t="shared" si="38"/>
        <v>2.0277115999999973</v>
      </c>
      <c r="BE47" s="23">
        <f t="shared" si="39"/>
        <v>-7.7743549230100699</v>
      </c>
      <c r="BF47">
        <f t="shared" si="40"/>
        <v>5.6089362765204607</v>
      </c>
      <c r="BG47" s="24">
        <f t="shared" si="41"/>
        <v>2.0106996599999971</v>
      </c>
      <c r="BH47" s="23">
        <f t="shared" si="42"/>
        <v>-7.7845327858968885</v>
      </c>
      <c r="BI47">
        <f t="shared" si="43"/>
        <v>5.6305608252338351</v>
      </c>
      <c r="BJ47" s="24">
        <f t="shared" si="44"/>
        <v>1.9936877199999972</v>
      </c>
      <c r="BK47" s="23">
        <f t="shared" si="45"/>
        <v>-7.7943413182701518</v>
      </c>
      <c r="BL47">
        <f t="shared" si="46"/>
        <v>5.652355381725827</v>
      </c>
      <c r="BM47" s="24">
        <f t="shared" si="47"/>
        <v>1.9766757799999972</v>
      </c>
      <c r="BN47" s="23">
        <f t="shared" si="48"/>
        <v>-7.8037776815491933</v>
      </c>
      <c r="BO47">
        <f t="shared" si="49"/>
        <v>5.6743136386709025</v>
      </c>
      <c r="BP47" s="24">
        <f t="shared" si="50"/>
        <v>1.9596638399999973</v>
      </c>
      <c r="BQ47" s="23">
        <f t="shared" si="51"/>
        <v>-7.8128391448587555</v>
      </c>
      <c r="BR47">
        <f t="shared" si="52"/>
        <v>5.6964292413687589</v>
      </c>
      <c r="BS47" s="24">
        <f t="shared" si="53"/>
        <v>1.9426518999999973</v>
      </c>
      <c r="BT47" s="23">
        <f t="shared" si="54"/>
        <v>-7.8215230858193046</v>
      </c>
      <c r="BU47">
        <f t="shared" si="55"/>
        <v>5.7186957895833723</v>
      </c>
      <c r="BV47" s="24">
        <f t="shared" si="56"/>
        <v>1.9256399599999974</v>
      </c>
      <c r="BW47" s="23">
        <f t="shared" si="57"/>
        <v>-7.829826991305942</v>
      </c>
      <c r="BX47">
        <f t="shared" si="58"/>
        <v>5.7411068393952167</v>
      </c>
      <c r="BY47" s="24">
        <f t="shared" si="59"/>
        <v>1.9086280199999974</v>
      </c>
      <c r="BZ47" s="23">
        <f t="shared" si="60"/>
        <v>-7.8377484581757031</v>
      </c>
      <c r="CA47">
        <f t="shared" si="61"/>
        <v>5.7636559050661322</v>
      </c>
      <c r="CB47" s="24">
        <f t="shared" si="62"/>
        <v>1.8916160799999975</v>
      </c>
      <c r="CC47" s="23">
        <f t="shared" si="63"/>
        <v>-7.845285193963023</v>
      </c>
      <c r="CD47">
        <f t="shared" si="64"/>
        <v>5.7863364609162904</v>
      </c>
      <c r="CE47" s="24">
        <f t="shared" si="65"/>
        <v>1.8746041399999975</v>
      </c>
      <c r="CF47" s="23">
        <f t="shared" si="66"/>
        <v>-7.8524350175431747</v>
      </c>
      <c r="CG47">
        <f t="shared" si="67"/>
        <v>5.8091419432127189</v>
      </c>
      <c r="CH47" s="24">
        <f t="shared" si="68"/>
        <v>1.8575921999999976</v>
      </c>
      <c r="CI47" s="23">
        <f t="shared" si="69"/>
        <v>-7.859195859763485</v>
      </c>
      <c r="CJ47">
        <f t="shared" si="70"/>
        <v>5.8320657520688419</v>
      </c>
      <c r="CK47" s="24">
        <f t="shared" si="71"/>
        <v>1.8405802599999976</v>
      </c>
      <c r="CL47" s="23">
        <f t="shared" si="72"/>
        <v>-7.8655657640421444</v>
      </c>
      <c r="CM47">
        <f t="shared" si="73"/>
        <v>5.8551012533544817</v>
      </c>
      <c r="CN47" s="24">
        <f t="shared" si="74"/>
        <v>1.8235683199999977</v>
      </c>
      <c r="CO47" s="23">
        <f t="shared" si="75"/>
        <v>-7.8715428869344413</v>
      </c>
      <c r="CP47">
        <f t="shared" si="76"/>
        <v>5.8782417806157694</v>
      </c>
      <c r="CQ47" s="24">
        <f t="shared" si="77"/>
        <v>1.8065563799999977</v>
      </c>
      <c r="CR47" s="23">
        <f t="shared" si="78"/>
        <v>-7.8771254986662527</v>
      </c>
      <c r="CS47">
        <f t="shared" si="79"/>
        <v>5.9014806370044095</v>
      </c>
      <c r="CT47" s="24">
        <f t="shared" si="80"/>
        <v>1.7895444399999978</v>
      </c>
      <c r="CU47" s="23">
        <f t="shared" si="81"/>
        <v>-7.8823119836346391</v>
      </c>
      <c r="CV47">
        <f t="shared" si="82"/>
        <v>5.9248110972157448</v>
      </c>
      <c r="CW47" s="24">
        <f t="shared" si="83"/>
        <v>1.7725324999999978</v>
      </c>
      <c r="CY47" s="8">
        <f t="shared" si="129"/>
        <v>1.3660104930510737</v>
      </c>
      <c r="CZ47" s="8">
        <f t="shared" si="92"/>
        <v>1.3777082603300106</v>
      </c>
      <c r="DA47" s="8">
        <f t="shared" si="93"/>
        <v>1.3900668492529049</v>
      </c>
      <c r="DB47" s="8">
        <f t="shared" si="94"/>
        <v>1.4030652701958233</v>
      </c>
      <c r="DC47" s="8">
        <f t="shared" si="95"/>
        <v>1.4166822031357178</v>
      </c>
      <c r="DD47" s="8">
        <f t="shared" si="96"/>
        <v>1.4308961074404338</v>
      </c>
      <c r="DE47" s="8">
        <f t="shared" si="97"/>
        <v>1.4456853239072518</v>
      </c>
      <c r="DF47" s="8">
        <f t="shared" si="98"/>
        <v>1.4610281685752393</v>
      </c>
      <c r="DG47" s="8">
        <f t="shared" si="99"/>
        <v>1.4769030180450606</v>
      </c>
      <c r="DH47" s="8">
        <f t="shared" si="100"/>
        <v>1.4932883862247348</v>
      </c>
      <c r="DI47" s="8">
        <f t="shared" si="101"/>
        <v>1.5101629925791729</v>
      </c>
      <c r="DJ47" s="8">
        <f t="shared" si="102"/>
        <v>1.5275058220946336</v>
      </c>
      <c r="DK47" s="8">
        <f t="shared" si="103"/>
        <v>1.5452961772770004</v>
      </c>
      <c r="DL47" s="8">
        <f t="shared" si="104"/>
        <v>1.5635137225863396</v>
      </c>
      <c r="DM47" s="8">
        <f t="shared" si="105"/>
        <v>1.5821385217715735</v>
      </c>
      <c r="DN47" s="8">
        <f t="shared" si="106"/>
        <v>1.6011510686105865</v>
      </c>
      <c r="DO47">
        <f t="shared" si="107"/>
        <v>1.6205323115852643</v>
      </c>
      <c r="DP47" s="8">
        <f t="shared" si="108"/>
        <v>1.6402636730304618</v>
      </c>
      <c r="DQ47">
        <f t="shared" si="109"/>
        <v>1.6603270632932277</v>
      </c>
      <c r="DR47" s="8">
        <f t="shared" si="110"/>
        <v>1.6807048904262052</v>
      </c>
      <c r="DS47">
        <f t="shared" si="111"/>
        <v>1.7013800659191527</v>
      </c>
      <c r="DT47" s="8">
        <f t="shared" si="112"/>
        <v>1.7223360069469174</v>
      </c>
      <c r="DU47">
        <f t="shared" si="113"/>
        <v>1.7435566355826992</v>
      </c>
      <c r="DV47" s="8">
        <f t="shared" si="114"/>
        <v>1.7650263753934263</v>
      </c>
      <c r="DW47">
        <f t="shared" si="115"/>
        <v>1.7867301458007747</v>
      </c>
      <c r="DX47" s="8">
        <f t="shared" si="116"/>
        <v>1.8086533545577583</v>
      </c>
      <c r="DY47">
        <f t="shared" si="117"/>
        <v>1.8307818886576399</v>
      </c>
      <c r="DZ47" s="8">
        <f t="shared" si="118"/>
        <v>1.8531021039597695</v>
      </c>
      <c r="EA47">
        <f t="shared" si="119"/>
        <v>1.8756008137862754</v>
      </c>
      <c r="EB47" s="8">
        <f t="shared" si="120"/>
        <v>1.8982652767146158</v>
      </c>
      <c r="EC47">
        <f t="shared" si="121"/>
        <v>1.3660104930510737</v>
      </c>
      <c r="ED47" s="8">
        <f t="shared" si="122"/>
        <v>1.8982652767146158</v>
      </c>
      <c r="EF47" s="23">
        <f t="shared" si="123"/>
        <v>0.77308417520531236</v>
      </c>
      <c r="EG47" s="8">
        <f t="shared" si="84"/>
        <v>2.4588188874919328</v>
      </c>
      <c r="EH47">
        <f t="shared" si="124"/>
        <v>0.99150000000000005</v>
      </c>
      <c r="EI47" s="8">
        <f t="shared" si="125"/>
        <v>4.223403062697245</v>
      </c>
    </row>
    <row r="48" spans="3:139" x14ac:dyDescent="0.3">
      <c r="G48" s="10"/>
      <c r="H48" s="10"/>
      <c r="I48" s="6">
        <v>30</v>
      </c>
      <c r="J48" s="6">
        <f t="shared" si="85"/>
        <v>0.23899999999999999</v>
      </c>
      <c r="K48" s="6">
        <f t="shared" si="128"/>
        <v>-0.11775949999999998</v>
      </c>
      <c r="L48" s="23">
        <f t="shared" si="130"/>
        <v>-7.5796167531299483</v>
      </c>
      <c r="M48">
        <f t="shared" si="87"/>
        <v>5.3090921812305281</v>
      </c>
      <c r="N48" s="24">
        <f t="shared" si="88"/>
        <v>2.2711147499999997</v>
      </c>
      <c r="O48" s="23">
        <f t="shared" si="89"/>
        <v>-7.5950193757639299</v>
      </c>
      <c r="P48">
        <f t="shared" si="90"/>
        <v>5.327367005880717</v>
      </c>
      <c r="Q48" s="24">
        <f t="shared" si="91"/>
        <v>2.2593387999999996</v>
      </c>
      <c r="R48" s="23">
        <f t="shared" si="0"/>
        <v>-7.6102057319987644</v>
      </c>
      <c r="S48">
        <f t="shared" si="1"/>
        <v>5.3458219397551225</v>
      </c>
      <c r="T48" s="24">
        <f t="shared" si="2"/>
        <v>2.2475628499999996</v>
      </c>
      <c r="U48" s="23">
        <f t="shared" si="3"/>
        <v>-7.6251737159212345</v>
      </c>
      <c r="V48">
        <f t="shared" si="4"/>
        <v>5.3644544236823037</v>
      </c>
      <c r="W48" s="24">
        <f t="shared" si="5"/>
        <v>2.2357868999999995</v>
      </c>
      <c r="X48" s="23">
        <f t="shared" si="6"/>
        <v>-7.6399212519001152</v>
      </c>
      <c r="Y48">
        <f t="shared" si="7"/>
        <v>5.3832618738697056</v>
      </c>
      <c r="Z48" s="24">
        <f t="shared" si="8"/>
        <v>2.2240109499999994</v>
      </c>
      <c r="AA48" s="23">
        <f t="shared" si="9"/>
        <v>-7.6544462948740071</v>
      </c>
      <c r="AB48">
        <f t="shared" si="10"/>
        <v>5.4022416822619572</v>
      </c>
      <c r="AC48" s="24">
        <f t="shared" si="11"/>
        <v>2.2122349999999993</v>
      </c>
      <c r="AD48" s="23">
        <f t="shared" si="12"/>
        <v>-7.6687468306349249</v>
      </c>
      <c r="AE48">
        <f t="shared" si="13"/>
        <v>5.4213912169025349</v>
      </c>
      <c r="AF48" s="24">
        <f t="shared" si="14"/>
        <v>2.2004590499999992</v>
      </c>
      <c r="AG48" s="23">
        <f t="shared" si="15"/>
        <v>-7.6828208761076136</v>
      </c>
      <c r="AH48">
        <f t="shared" si="16"/>
        <v>5.4407078222987399</v>
      </c>
      <c r="AI48" s="24">
        <f t="shared" si="17"/>
        <v>2.1886830999999991</v>
      </c>
      <c r="AJ48" s="23">
        <f t="shared" si="18"/>
        <v>-7.6966664796245405</v>
      </c>
      <c r="AK48">
        <f t="shared" si="19"/>
        <v>5.4601888197899378</v>
      </c>
      <c r="AL48" s="24">
        <f t="shared" si="20"/>
        <v>2.176907149999999</v>
      </c>
      <c r="AM48" s="23">
        <f t="shared" si="21"/>
        <v>-7.71028172119654</v>
      </c>
      <c r="AN48">
        <f t="shared" si="22"/>
        <v>5.4798315079190125</v>
      </c>
      <c r="AO48" s="24">
        <f t="shared" si="23"/>
        <v>2.1651311999999989</v>
      </c>
      <c r="AP48" s="23">
        <f t="shared" si="24"/>
        <v>-7.7236647127790565</v>
      </c>
      <c r="AQ48">
        <f t="shared" si="25"/>
        <v>5.4996331628069832</v>
      </c>
      <c r="AR48" s="24">
        <f t="shared" si="26"/>
        <v>2.1533552499999988</v>
      </c>
      <c r="AS48" s="23">
        <f t="shared" si="27"/>
        <v>-7.736813598533967</v>
      </c>
      <c r="AT48">
        <f t="shared" si="28"/>
        <v>5.5195910385307245</v>
      </c>
      <c r="AU48" s="24">
        <f t="shared" si="29"/>
        <v>2.1415792999999987</v>
      </c>
      <c r="AV48" s="23">
        <f t="shared" si="30"/>
        <v>-7.7497265550869292</v>
      </c>
      <c r="AW48">
        <f t="shared" si="31"/>
        <v>5.5397023675037511</v>
      </c>
      <c r="AX48" s="24">
        <f t="shared" si="32"/>
        <v>2.1298033499999987</v>
      </c>
      <c r="AY48" s="23">
        <f t="shared" si="33"/>
        <v>-7.762401791780233</v>
      </c>
      <c r="AZ48">
        <f t="shared" si="34"/>
        <v>5.5599643608600013</v>
      </c>
      <c r="BA48" s="24">
        <f t="shared" si="35"/>
        <v>2.1180273999999986</v>
      </c>
      <c r="BB48" s="23">
        <f t="shared" si="36"/>
        <v>-7.7748375509211129</v>
      </c>
      <c r="BC48">
        <f t="shared" si="37"/>
        <v>5.5803742088405723</v>
      </c>
      <c r="BD48" s="24">
        <f t="shared" si="38"/>
        <v>2.1062514499999985</v>
      </c>
      <c r="BE48" s="23">
        <f t="shared" si="39"/>
        <v>-7.7870321080254898</v>
      </c>
      <c r="BF48">
        <f t="shared" si="40"/>
        <v>5.600929081183355</v>
      </c>
      <c r="BG48" s="24">
        <f t="shared" si="41"/>
        <v>2.0944754999999984</v>
      </c>
      <c r="BH48" s="23">
        <f t="shared" si="42"/>
        <v>-7.7989837720571078</v>
      </c>
      <c r="BI48">
        <f t="shared" si="43"/>
        <v>5.6216261275155093</v>
      </c>
      <c r="BJ48" s="24">
        <f t="shared" si="44"/>
        <v>2.0826995499999983</v>
      </c>
      <c r="BK48" s="23">
        <f t="shared" si="45"/>
        <v>-7.8106908856620318</v>
      </c>
      <c r="BL48">
        <f t="shared" si="46"/>
        <v>5.6424624777487296</v>
      </c>
      <c r="BM48" s="24">
        <f t="shared" si="47"/>
        <v>2.0709235999999982</v>
      </c>
      <c r="BN48" s="23">
        <f t="shared" si="48"/>
        <v>-7.8221518253984765</v>
      </c>
      <c r="BO48">
        <f t="shared" si="49"/>
        <v>5.6634352424772434</v>
      </c>
      <c r="BP48" s="24">
        <f t="shared" si="50"/>
        <v>2.0591476499999981</v>
      </c>
      <c r="BQ48" s="23">
        <f t="shared" si="51"/>
        <v>-7.8333650019619308</v>
      </c>
      <c r="BR48">
        <f t="shared" si="52"/>
        <v>5.6845415133784893</v>
      </c>
      <c r="BS48" s="24">
        <f t="shared" si="53"/>
        <v>2.047371699999998</v>
      </c>
      <c r="BT48" s="23">
        <f t="shared" si="54"/>
        <v>-7.8443288604055477</v>
      </c>
      <c r="BU48">
        <f t="shared" si="55"/>
        <v>5.705778363616421</v>
      </c>
      <c r="BV48" s="24">
        <f t="shared" si="56"/>
        <v>2.0355957499999979</v>
      </c>
      <c r="BW48" s="23">
        <f t="shared" si="57"/>
        <v>-7.8550418803557731</v>
      </c>
      <c r="BX48">
        <f t="shared" si="58"/>
        <v>5.7271428482473707</v>
      </c>
      <c r="BY48" s="24">
        <f t="shared" si="59"/>
        <v>2.0238197999999978</v>
      </c>
      <c r="BZ48" s="23">
        <f t="shared" si="60"/>
        <v>-7.8655025762231761</v>
      </c>
      <c r="CA48">
        <f t="shared" si="61"/>
        <v>5.7486320046284316</v>
      </c>
      <c r="CB48" s="24">
        <f t="shared" si="62"/>
        <v>2.0120438499999977</v>
      </c>
      <c r="CC48" s="23">
        <f t="shared" si="63"/>
        <v>-7.8757094974084589</v>
      </c>
      <c r="CD48">
        <f t="shared" si="64"/>
        <v>5.7702428528282921</v>
      </c>
      <c r="CE48" s="24">
        <f t="shared" si="65"/>
        <v>2.0002678999999977</v>
      </c>
      <c r="CF48" s="23">
        <f t="shared" si="66"/>
        <v>-7.8856612285036123</v>
      </c>
      <c r="CG48">
        <f t="shared" si="67"/>
        <v>5.7919723960404665</v>
      </c>
      <c r="CH48" s="24">
        <f t="shared" si="68"/>
        <v>1.9884919499999976</v>
      </c>
      <c r="CI48" s="23">
        <f t="shared" si="69"/>
        <v>-7.8953563894881942</v>
      </c>
      <c r="CJ48">
        <f t="shared" si="70"/>
        <v>5.813817620998865</v>
      </c>
      <c r="CK48" s="24">
        <f t="shared" si="71"/>
        <v>1.9767159999999975</v>
      </c>
      <c r="CL48" s="23">
        <f t="shared" si="72"/>
        <v>-7.9047936359206972</v>
      </c>
      <c r="CM48">
        <f t="shared" si="73"/>
        <v>5.8357754983956491</v>
      </c>
      <c r="CN48" s="24">
        <f t="shared" si="74"/>
        <v>1.9649400499999974</v>
      </c>
      <c r="CO48" s="23">
        <f t="shared" si="75"/>
        <v>-7.9139716591249858</v>
      </c>
      <c r="CP48">
        <f t="shared" si="76"/>
        <v>5.8578429833013095</v>
      </c>
      <c r="CQ48" s="24">
        <f t="shared" si="77"/>
        <v>1.9531640999999973</v>
      </c>
      <c r="CR48" s="23">
        <f t="shared" si="78"/>
        <v>-7.9228891863717701</v>
      </c>
      <c r="CS48">
        <f t="shared" si="79"/>
        <v>5.88001701558691</v>
      </c>
      <c r="CT48" s="24">
        <f t="shared" si="80"/>
        <v>1.9413881499999972</v>
      </c>
      <c r="CU48" s="23">
        <f t="shared" si="81"/>
        <v>-7.9315449810550991</v>
      </c>
      <c r="CV48">
        <f t="shared" si="82"/>
        <v>5.9022945203484412</v>
      </c>
      <c r="CW48" s="24">
        <f t="shared" si="83"/>
        <v>1.9296121999999971</v>
      </c>
      <c r="CY48" s="8">
        <f t="shared" si="129"/>
        <v>1.3660104930510737</v>
      </c>
      <c r="CZ48" s="8">
        <f t="shared" si="92"/>
        <v>1.3775994407029568</v>
      </c>
      <c r="DA48" s="8">
        <f t="shared" si="93"/>
        <v>1.3897450233639328</v>
      </c>
      <c r="DB48" s="8">
        <f t="shared" si="94"/>
        <v>1.402431117402559</v>
      </c>
      <c r="DC48" s="8">
        <f t="shared" si="95"/>
        <v>1.415641456837113</v>
      </c>
      <c r="DD48" s="8">
        <f t="shared" si="96"/>
        <v>1.4293597004669927</v>
      </c>
      <c r="DE48" s="8">
        <f t="shared" si="97"/>
        <v>1.4435694939777612</v>
      </c>
      <c r="DF48" s="8">
        <f t="shared" si="98"/>
        <v>1.4582545268589258</v>
      </c>
      <c r="DG48" s="8">
        <f t="shared" si="99"/>
        <v>1.4733985840722328</v>
      </c>
      <c r="DH48" s="8">
        <f t="shared" si="100"/>
        <v>1.4889855924947017</v>
      </c>
      <c r="DI48" s="8">
        <f t="shared" si="101"/>
        <v>1.5049996622344064</v>
      </c>
      <c r="DJ48" s="8">
        <f t="shared" si="102"/>
        <v>1.5214251229782503</v>
      </c>
      <c r="DK48" s="8">
        <f t="shared" si="103"/>
        <v>1.5382465555802098</v>
      </c>
      <c r="DL48" s="8">
        <f t="shared" si="104"/>
        <v>1.5554488191363971</v>
      </c>
      <c r="DM48" s="8">
        <f t="shared" si="105"/>
        <v>1.5730170738209532</v>
      </c>
      <c r="DN48" s="8">
        <f t="shared" si="106"/>
        <v>1.5909367997752102</v>
      </c>
      <c r="DO48">
        <f t="shared" si="107"/>
        <v>1.6091938123529734</v>
      </c>
      <c r="DP48" s="8">
        <f t="shared" si="108"/>
        <v>1.6277742740283585</v>
      </c>
      <c r="DQ48">
        <f t="shared" si="109"/>
        <v>1.6466647032704571</v>
      </c>
      <c r="DR48" s="8">
        <f t="shared" si="110"/>
        <v>1.6658519806823324</v>
      </c>
      <c r="DS48">
        <f t="shared" si="111"/>
        <v>1.685323352691374</v>
      </c>
      <c r="DT48" s="8">
        <f t="shared" si="112"/>
        <v>1.7050664330648058</v>
      </c>
      <c r="DU48">
        <f t="shared" si="113"/>
        <v>1.7250692025088985</v>
      </c>
      <c r="DV48" s="8">
        <f t="shared" si="114"/>
        <v>1.745320006593829</v>
      </c>
      <c r="DW48">
        <f t="shared" si="115"/>
        <v>1.7658075522287597</v>
      </c>
      <c r="DX48" s="8">
        <f t="shared" si="116"/>
        <v>1.7865209028940228</v>
      </c>
      <c r="DY48">
        <f t="shared" si="117"/>
        <v>1.8074494728196857</v>
      </c>
      <c r="DZ48" s="8">
        <f t="shared" si="118"/>
        <v>1.8285830202825084</v>
      </c>
      <c r="EA48">
        <f t="shared" si="119"/>
        <v>1.8499116401766615</v>
      </c>
      <c r="EB48" s="8">
        <f t="shared" si="120"/>
        <v>1.8714257559976932</v>
      </c>
      <c r="EC48">
        <f t="shared" si="121"/>
        <v>1.3660104930510737</v>
      </c>
      <c r="ED48" s="8">
        <f t="shared" si="122"/>
        <v>1.8714257559976932</v>
      </c>
      <c r="EF48" s="23">
        <f t="shared" si="123"/>
        <v>0.61465319633063897</v>
      </c>
      <c r="EG48" s="8">
        <f t="shared" si="84"/>
        <v>2.4588188874919328</v>
      </c>
      <c r="EH48">
        <f t="shared" si="124"/>
        <v>0.99150000000000005</v>
      </c>
      <c r="EI48" s="8">
        <f t="shared" si="125"/>
        <v>4.064972083822572</v>
      </c>
    </row>
    <row r="49" spans="7:139" x14ac:dyDescent="0.3">
      <c r="G49" s="10"/>
      <c r="H49" s="10"/>
      <c r="I49" s="6">
        <v>31</v>
      </c>
      <c r="J49" s="6">
        <f t="shared" si="85"/>
        <v>0.23899999999999999</v>
      </c>
      <c r="K49" s="6">
        <f t="shared" si="128"/>
        <v>-6.5399599999999974E-2</v>
      </c>
      <c r="L49" s="23">
        <f t="shared" si="130"/>
        <v>-7.5796167531299483</v>
      </c>
      <c r="M49">
        <f t="shared" si="87"/>
        <v>5.3090921812305281</v>
      </c>
      <c r="N49" s="24">
        <f t="shared" si="88"/>
        <v>2.2763507399999998</v>
      </c>
      <c r="O49" s="23">
        <f t="shared" si="89"/>
        <v>-7.5951148509903117</v>
      </c>
      <c r="P49">
        <f t="shared" si="90"/>
        <v>5.3272861077641434</v>
      </c>
      <c r="Q49" s="24">
        <f t="shared" si="91"/>
        <v>2.2698107799999998</v>
      </c>
      <c r="R49" s="23">
        <f t="shared" si="0"/>
        <v>-7.610493630713119</v>
      </c>
      <c r="S49">
        <f t="shared" si="1"/>
        <v>5.3455810014297915</v>
      </c>
      <c r="T49" s="24">
        <f t="shared" si="2"/>
        <v>2.2632708199999998</v>
      </c>
      <c r="U49" s="23">
        <f t="shared" si="3"/>
        <v>-7.6257524345337462</v>
      </c>
      <c r="V49">
        <f t="shared" si="4"/>
        <v>5.3639760797379585</v>
      </c>
      <c r="W49" s="24">
        <f t="shared" si="5"/>
        <v>2.2567308599999998</v>
      </c>
      <c r="X49" s="23">
        <f t="shared" si="6"/>
        <v>-7.6408906098190492</v>
      </c>
      <c r="Y49">
        <f t="shared" si="7"/>
        <v>5.3824705559141428</v>
      </c>
      <c r="Z49" s="24">
        <f t="shared" si="8"/>
        <v>2.2501908999999998</v>
      </c>
      <c r="AA49" s="23">
        <f t="shared" si="9"/>
        <v>-7.655907509095278</v>
      </c>
      <c r="AB49">
        <f t="shared" si="10"/>
        <v>5.4010636389325022</v>
      </c>
      <c r="AC49" s="24">
        <f t="shared" si="11"/>
        <v>2.2436509399999998</v>
      </c>
      <c r="AD49" s="23">
        <f t="shared" si="12"/>
        <v>-7.6708024900757703</v>
      </c>
      <c r="AE49">
        <f t="shared" si="13"/>
        <v>5.4197545335496891</v>
      </c>
      <c r="AF49" s="24">
        <f t="shared" si="14"/>
        <v>2.2371109799999997</v>
      </c>
      <c r="AG49" s="23">
        <f t="shared" si="15"/>
        <v>-7.6855749156884201</v>
      </c>
      <c r="AH49">
        <f t="shared" si="16"/>
        <v>5.438542440338864</v>
      </c>
      <c r="AI49" s="24">
        <f t="shared" si="17"/>
        <v>2.2305710199999997</v>
      </c>
      <c r="AJ49" s="23">
        <f t="shared" si="18"/>
        <v>-7.7002241541029299</v>
      </c>
      <c r="AK49">
        <f t="shared" si="19"/>
        <v>5.4574265557238864</v>
      </c>
      <c r="AL49" s="24">
        <f t="shared" si="20"/>
        <v>2.2240310599999997</v>
      </c>
      <c r="AM49" s="23">
        <f t="shared" si="21"/>
        <v>-7.7147495787578313</v>
      </c>
      <c r="AN49">
        <f t="shared" si="22"/>
        <v>5.4764060720136865</v>
      </c>
      <c r="AO49" s="24">
        <f t="shared" si="23"/>
        <v>2.2174910999999997</v>
      </c>
      <c r="AP49" s="23">
        <f t="shared" si="24"/>
        <v>-7.7291505683872854</v>
      </c>
      <c r="AQ49">
        <f t="shared" si="25"/>
        <v>5.4954801774368081</v>
      </c>
      <c r="AR49" s="24">
        <f t="shared" si="26"/>
        <v>2.2109511399999997</v>
      </c>
      <c r="AS49" s="23">
        <f t="shared" si="27"/>
        <v>-7.743426507047654</v>
      </c>
      <c r="AT49">
        <f t="shared" si="28"/>
        <v>5.5146480561761315</v>
      </c>
      <c r="AU49" s="24">
        <f t="shared" si="29"/>
        <v>2.2044111799999997</v>
      </c>
      <c r="AV49" s="23">
        <f t="shared" si="30"/>
        <v>-7.7575767841438443</v>
      </c>
      <c r="AW49">
        <f t="shared" si="31"/>
        <v>5.5339088884037642</v>
      </c>
      <c r="AX49" s="24">
        <f t="shared" si="32"/>
        <v>2.1978712199999997</v>
      </c>
      <c r="AY49" s="23">
        <f t="shared" si="33"/>
        <v>-7.7716007944554253</v>
      </c>
      <c r="AZ49">
        <f t="shared" si="34"/>
        <v>5.5532618503161091</v>
      </c>
      <c r="BA49" s="24">
        <f t="shared" si="35"/>
        <v>2.1913312599999997</v>
      </c>
      <c r="BB49" s="23">
        <f t="shared" si="36"/>
        <v>-7.7854979381625133</v>
      </c>
      <c r="BC49">
        <f t="shared" si="37"/>
        <v>5.5727061141690957</v>
      </c>
      <c r="BD49" s="24">
        <f t="shared" si="38"/>
        <v>2.1847912999999997</v>
      </c>
      <c r="BE49" s="23">
        <f t="shared" si="39"/>
        <v>-7.7992676208714249</v>
      </c>
      <c r="BF49">
        <f t="shared" si="40"/>
        <v>5.592240848313585</v>
      </c>
      <c r="BG49" s="24">
        <f t="shared" si="41"/>
        <v>2.1782513399999996</v>
      </c>
      <c r="BH49" s="23">
        <f t="shared" si="42"/>
        <v>-7.812909253640103</v>
      </c>
      <c r="BI49">
        <f t="shared" si="43"/>
        <v>5.6118652172309416</v>
      </c>
      <c r="BJ49" s="24">
        <f t="shared" si="44"/>
        <v>2.1717113799999996</v>
      </c>
      <c r="BK49" s="23">
        <f t="shared" si="45"/>
        <v>-7.8264222530033054</v>
      </c>
      <c r="BL49">
        <f t="shared" si="46"/>
        <v>5.631578381568767</v>
      </c>
      <c r="BM49" s="24">
        <f t="shared" si="47"/>
        <v>2.1651714199999996</v>
      </c>
      <c r="BN49" s="23">
        <f t="shared" si="48"/>
        <v>-7.8398060409975576</v>
      </c>
      <c r="BO49">
        <f t="shared" si="49"/>
        <v>5.6513794981767997</v>
      </c>
      <c r="BP49" s="24">
        <f t="shared" si="50"/>
        <v>2.1586314599999996</v>
      </c>
      <c r="BQ49" s="23">
        <f t="shared" si="51"/>
        <v>-7.8530600451858756</v>
      </c>
      <c r="BR49">
        <f t="shared" si="52"/>
        <v>5.6712677201429802</v>
      </c>
      <c r="BS49" s="24">
        <f t="shared" si="53"/>
        <v>2.1520914999999996</v>
      </c>
      <c r="BT49" s="23">
        <f t="shared" si="54"/>
        <v>-7.8661836986822493</v>
      </c>
      <c r="BU49">
        <f t="shared" si="55"/>
        <v>5.6912421968296707</v>
      </c>
      <c r="BV49" s="24">
        <f t="shared" si="56"/>
        <v>2.1455515399999996</v>
      </c>
      <c r="BW49" s="23">
        <f t="shared" si="57"/>
        <v>-7.879176440175887</v>
      </c>
      <c r="BX49">
        <f t="shared" si="58"/>
        <v>5.7113020739100397</v>
      </c>
      <c r="BY49" s="24">
        <f t="shared" si="59"/>
        <v>2.1390115799999996</v>
      </c>
      <c r="BZ49" s="23">
        <f t="shared" si="60"/>
        <v>-7.8920377139552258</v>
      </c>
      <c r="CA49">
        <f t="shared" si="61"/>
        <v>5.7314464934046017</v>
      </c>
      <c r="CB49" s="24">
        <f t="shared" si="62"/>
        <v>2.1324716199999996</v>
      </c>
      <c r="CC49" s="23">
        <f t="shared" si="63"/>
        <v>-7.9047669699316971</v>
      </c>
      <c r="CD49">
        <f t="shared" si="64"/>
        <v>5.7516745937179143</v>
      </c>
      <c r="CE49" s="24">
        <f t="shared" si="65"/>
        <v>2.1259316599999996</v>
      </c>
      <c r="CF49" s="23">
        <f t="shared" si="66"/>
        <v>-7.9173636636632576</v>
      </c>
      <c r="CG49">
        <f t="shared" si="67"/>
        <v>5.7719855096754298</v>
      </c>
      <c r="CH49" s="24">
        <f t="shared" si="68"/>
        <v>2.1193916999999995</v>
      </c>
      <c r="CI49" s="23">
        <f t="shared" si="69"/>
        <v>-7.9298272563776715</v>
      </c>
      <c r="CJ49">
        <f t="shared" si="70"/>
        <v>5.7923783725604983</v>
      </c>
      <c r="CK49" s="24">
        <f t="shared" si="71"/>
        <v>2.1128517399999995</v>
      </c>
      <c r="CL49" s="23">
        <f t="shared" si="72"/>
        <v>-7.9421572149955582</v>
      </c>
      <c r="CM49">
        <f t="shared" si="73"/>
        <v>5.8128523101515235</v>
      </c>
      <c r="CN49" s="24">
        <f t="shared" si="74"/>
        <v>2.1063117799999995</v>
      </c>
      <c r="CO49" s="23">
        <f t="shared" si="75"/>
        <v>-7.9543530121531907</v>
      </c>
      <c r="CP49">
        <f t="shared" si="76"/>
        <v>5.8334064467592697</v>
      </c>
      <c r="CQ49" s="24">
        <f t="shared" si="77"/>
        <v>2.0997718199999995</v>
      </c>
      <c r="CR49" s="23">
        <f t="shared" si="78"/>
        <v>-7.9664141262250503</v>
      </c>
      <c r="CS49">
        <f t="shared" si="79"/>
        <v>5.8540399032643151</v>
      </c>
      <c r="CT49" s="24">
        <f t="shared" si="80"/>
        <v>2.0932318599999995</v>
      </c>
      <c r="CU49" s="23">
        <f t="shared" si="81"/>
        <v>-7.9783400413461401</v>
      </c>
      <c r="CV49">
        <f t="shared" si="82"/>
        <v>5.8747517971546515</v>
      </c>
      <c r="CW49" s="24">
        <f t="shared" si="83"/>
        <v>2.0866918999999995</v>
      </c>
      <c r="CY49" s="8">
        <f t="shared" si="129"/>
        <v>1.3660104930510737</v>
      </c>
      <c r="CZ49" s="8">
        <f t="shared" si="92"/>
        <v>1.377490301757806</v>
      </c>
      <c r="DA49" s="8">
        <f t="shared" si="93"/>
        <v>1.3894215448412568</v>
      </c>
      <c r="DB49" s="8">
        <f t="shared" si="94"/>
        <v>1.4017921916742124</v>
      </c>
      <c r="DC49" s="8">
        <f t="shared" si="95"/>
        <v>1.4145901924952136</v>
      </c>
      <c r="DD49" s="8">
        <f t="shared" si="96"/>
        <v>1.427803515833213</v>
      </c>
      <c r="DE49" s="8">
        <f t="shared" si="97"/>
        <v>1.4414201828881552</v>
      </c>
      <c r="DF49" s="8">
        <f t="shared" si="98"/>
        <v>1.4554282988557132</v>
      </c>
      <c r="DG49" s="8">
        <f t="shared" si="99"/>
        <v>1.4698160812243901</v>
      </c>
      <c r="DH49" s="8">
        <f t="shared" si="100"/>
        <v>1.4845718851074385</v>
      </c>
      <c r="DI49" s="8">
        <f t="shared" si="101"/>
        <v>1.4996842257006804</v>
      </c>
      <c r="DJ49" s="8">
        <f t="shared" si="102"/>
        <v>1.515141797980585</v>
      </c>
      <c r="DK49" s="8">
        <f t="shared" si="103"/>
        <v>1.530933493775174</v>
      </c>
      <c r="DL49" s="8">
        <f t="shared" si="104"/>
        <v>1.5470484163539333</v>
      </c>
      <c r="DM49" s="8">
        <f t="shared" si="105"/>
        <v>1.5634758926923207</v>
      </c>
      <c r="DN49" s="8">
        <f t="shared" si="106"/>
        <v>1.580205483572221</v>
      </c>
      <c r="DO49">
        <f t="shared" si="107"/>
        <v>1.5972269916822217</v>
      </c>
      <c r="DP49" s="8">
        <f t="shared" si="108"/>
        <v>1.6145304678813959</v>
      </c>
      <c r="DQ49">
        <f t="shared" si="109"/>
        <v>1.6321062157878317</v>
      </c>
      <c r="DR49" s="8">
        <f t="shared" si="110"/>
        <v>1.6499447948488233</v>
      </c>
      <c r="DS49">
        <f t="shared" si="111"/>
        <v>1.6680370220438601</v>
      </c>
      <c r="DT49" s="8">
        <f t="shared" si="112"/>
        <v>1.6863739723646729</v>
      </c>
      <c r="DU49">
        <f t="shared" si="113"/>
        <v>1.7049469782088684</v>
      </c>
      <c r="DV49" s="8">
        <f t="shared" si="114"/>
        <v>1.7237476278154384</v>
      </c>
      <c r="DW49">
        <f t="shared" si="115"/>
        <v>1.7427677628618554</v>
      </c>
      <c r="DX49" s="8">
        <f t="shared" si="116"/>
        <v>1.7619994753337529</v>
      </c>
      <c r="DY49">
        <f t="shared" si="117"/>
        <v>1.781435103769518</v>
      </c>
      <c r="DZ49" s="8">
        <f t="shared" si="118"/>
        <v>1.8010672289735965</v>
      </c>
      <c r="EA49">
        <f t="shared" si="119"/>
        <v>1.8208886692840323</v>
      </c>
      <c r="EB49" s="8">
        <f t="shared" si="120"/>
        <v>1.8408924754718223</v>
      </c>
      <c r="EC49">
        <f t="shared" si="121"/>
        <v>1.3660104930510737</v>
      </c>
      <c r="ED49" s="8">
        <f t="shared" si="122"/>
        <v>1.8408924754718223</v>
      </c>
      <c r="EF49" s="23">
        <f t="shared" si="123"/>
        <v>0.45613881549291468</v>
      </c>
      <c r="EG49" s="8">
        <f t="shared" si="84"/>
        <v>2.4588188874919328</v>
      </c>
      <c r="EH49">
        <f t="shared" si="124"/>
        <v>0.99150000000000005</v>
      </c>
      <c r="EI49" s="8">
        <f t="shared" si="125"/>
        <v>3.9064577029848477</v>
      </c>
    </row>
    <row r="50" spans="7:139" x14ac:dyDescent="0.3">
      <c r="G50" s="10"/>
      <c r="H50" s="10"/>
      <c r="I50" s="6">
        <v>32</v>
      </c>
      <c r="J50" s="6">
        <f t="shared" si="85"/>
        <v>0.23899999999999999</v>
      </c>
      <c r="K50" s="6">
        <f t="shared" si="128"/>
        <v>-1.3039699999999974E-2</v>
      </c>
      <c r="L50" s="23">
        <f t="shared" si="130"/>
        <v>-7.5796167531299483</v>
      </c>
      <c r="M50">
        <f t="shared" si="87"/>
        <v>5.3090921812305281</v>
      </c>
      <c r="N50" s="24">
        <f t="shared" si="88"/>
        <v>2.2815867299999999</v>
      </c>
      <c r="O50" s="23">
        <f t="shared" si="89"/>
        <v>-7.5952099013281469</v>
      </c>
      <c r="P50">
        <f t="shared" si="90"/>
        <v>5.3272047108514569</v>
      </c>
      <c r="Q50" s="24">
        <f t="shared" si="91"/>
        <v>2.28028276</v>
      </c>
      <c r="R50" s="23">
        <f t="shared" si="0"/>
        <v>-7.6107794180809814</v>
      </c>
      <c r="S50">
        <f t="shared" si="1"/>
        <v>5.3453375580653724</v>
      </c>
      <c r="T50" s="24">
        <f t="shared" si="2"/>
        <v>2.27897879</v>
      </c>
      <c r="U50" s="23">
        <f t="shared" si="3"/>
        <v>-7.6263252769150185</v>
      </c>
      <c r="V50">
        <f t="shared" si="4"/>
        <v>5.3634906920403145</v>
      </c>
      <c r="W50" s="24">
        <f t="shared" si="5"/>
        <v>2.2776748200000001</v>
      </c>
      <c r="X50" s="23">
        <f t="shared" si="6"/>
        <v>-7.6418474513970507</v>
      </c>
      <c r="Y50">
        <f t="shared" si="7"/>
        <v>5.381664081909828</v>
      </c>
      <c r="Z50" s="24">
        <f t="shared" si="8"/>
        <v>2.2763708500000002</v>
      </c>
      <c r="AA50" s="23">
        <f t="shared" si="9"/>
        <v>-7.657345915134143</v>
      </c>
      <c r="AB50">
        <f t="shared" si="10"/>
        <v>5.399857696773017</v>
      </c>
      <c r="AC50" s="24">
        <f t="shared" si="11"/>
        <v>2.2750668800000002</v>
      </c>
      <c r="AD50" s="23">
        <f t="shared" si="12"/>
        <v>-7.6728206417736757</v>
      </c>
      <c r="AE50">
        <f t="shared" si="13"/>
        <v>5.4180715056945949</v>
      </c>
      <c r="AF50" s="24">
        <f t="shared" si="14"/>
        <v>2.2737629100000003</v>
      </c>
      <c r="AG50" s="23">
        <f t="shared" si="15"/>
        <v>-7.6882716050033899</v>
      </c>
      <c r="AH50">
        <f t="shared" si="16"/>
        <v>5.4363054777049395</v>
      </c>
      <c r="AI50" s="24">
        <f t="shared" si="17"/>
        <v>2.2724589400000004</v>
      </c>
      <c r="AJ50" s="23">
        <f t="shared" si="18"/>
        <v>-7.7036987785514333</v>
      </c>
      <c r="AK50">
        <f t="shared" si="19"/>
        <v>5.4545595818001438</v>
      </c>
      <c r="AL50" s="24">
        <f t="shared" si="20"/>
        <v>2.2711549700000004</v>
      </c>
      <c r="AM50" s="23">
        <f t="shared" si="21"/>
        <v>-7.7191021361864047</v>
      </c>
      <c r="AN50">
        <f t="shared" si="22"/>
        <v>5.4728337869420693</v>
      </c>
      <c r="AO50" s="24">
        <f t="shared" si="23"/>
        <v>2.2698510000000005</v>
      </c>
      <c r="AP50" s="23">
        <f t="shared" si="24"/>
        <v>-7.7344816517173962</v>
      </c>
      <c r="AQ50">
        <f t="shared" si="25"/>
        <v>5.4911280620584</v>
      </c>
      <c r="AR50" s="24">
        <f t="shared" si="26"/>
        <v>2.2685470300000006</v>
      </c>
      <c r="AS50" s="23">
        <f t="shared" si="27"/>
        <v>-7.7498372989940414</v>
      </c>
      <c r="AT50">
        <f t="shared" si="28"/>
        <v>5.5094423760426929</v>
      </c>
      <c r="AU50" s="24">
        <f t="shared" si="29"/>
        <v>2.2672430600000006</v>
      </c>
      <c r="AV50" s="23">
        <f t="shared" si="30"/>
        <v>-7.7651690519065566</v>
      </c>
      <c r="AW50">
        <f t="shared" si="31"/>
        <v>5.5277766977544331</v>
      </c>
      <c r="AX50" s="24">
        <f t="shared" si="32"/>
        <v>2.2659390900000007</v>
      </c>
      <c r="AY50" s="23">
        <f t="shared" si="33"/>
        <v>-7.780476884385787</v>
      </c>
      <c r="AZ50">
        <f t="shared" si="34"/>
        <v>5.5461309960190857</v>
      </c>
      <c r="BA50" s="24">
        <f t="shared" si="35"/>
        <v>2.2646351200000008</v>
      </c>
      <c r="BB50" s="23">
        <f t="shared" si="36"/>
        <v>-7.795760770403251</v>
      </c>
      <c r="BC50">
        <f t="shared" si="37"/>
        <v>5.564505239628148</v>
      </c>
      <c r="BD50" s="24">
        <f t="shared" si="38"/>
        <v>2.2633311500000008</v>
      </c>
      <c r="BE50" s="23">
        <f t="shared" si="39"/>
        <v>-7.8110206839711829</v>
      </c>
      <c r="BF50">
        <f t="shared" si="40"/>
        <v>5.5828993973392054</v>
      </c>
      <c r="BG50" s="24">
        <f t="shared" si="41"/>
        <v>2.2620271800000009</v>
      </c>
      <c r="BH50" s="23">
        <f t="shared" si="42"/>
        <v>-7.8262565991425799</v>
      </c>
      <c r="BI50">
        <f t="shared" si="43"/>
        <v>5.6013134378759801</v>
      </c>
      <c r="BJ50" s="24">
        <f t="shared" si="44"/>
        <v>2.260723210000001</v>
      </c>
      <c r="BK50" s="23">
        <f t="shared" si="45"/>
        <v>-7.8414684900112439</v>
      </c>
      <c r="BL50">
        <f t="shared" si="46"/>
        <v>5.6197473299283889</v>
      </c>
      <c r="BM50" s="24">
        <f t="shared" si="47"/>
        <v>2.2594192400000011</v>
      </c>
      <c r="BN50" s="23">
        <f t="shared" si="48"/>
        <v>-7.856656330711826</v>
      </c>
      <c r="BO50">
        <f t="shared" si="49"/>
        <v>5.638201042152593</v>
      </c>
      <c r="BP50" s="24">
        <f t="shared" si="50"/>
        <v>2.2581152700000011</v>
      </c>
      <c r="BQ50" s="23">
        <f t="shared" si="51"/>
        <v>-7.8718200954198707</v>
      </c>
      <c r="BR50">
        <f t="shared" si="52"/>
        <v>5.6566745431710537</v>
      </c>
      <c r="BS50" s="24">
        <f t="shared" si="53"/>
        <v>2.2568113000000012</v>
      </c>
      <c r="BT50" s="23">
        <f t="shared" si="54"/>
        <v>-7.8869597583518596</v>
      </c>
      <c r="BU50">
        <f t="shared" si="55"/>
        <v>5.6751678015725835</v>
      </c>
      <c r="BV50" s="24">
        <f t="shared" si="56"/>
        <v>2.2555073300000013</v>
      </c>
      <c r="BW50" s="23">
        <f t="shared" si="57"/>
        <v>-7.9020752937652556</v>
      </c>
      <c r="BX50">
        <f t="shared" si="58"/>
        <v>5.6936807859124023</v>
      </c>
      <c r="BY50" s="24">
        <f t="shared" si="59"/>
        <v>2.2542033600000013</v>
      </c>
      <c r="BZ50" s="23">
        <f t="shared" si="60"/>
        <v>-7.9171666759585477</v>
      </c>
      <c r="CA50">
        <f t="shared" si="61"/>
        <v>5.7122134647121872</v>
      </c>
      <c r="CB50" s="24">
        <f t="shared" si="62"/>
        <v>2.2528993900000014</v>
      </c>
      <c r="CC50" s="23">
        <f t="shared" si="63"/>
        <v>-7.9322338792712914</v>
      </c>
      <c r="CD50">
        <f t="shared" si="64"/>
        <v>5.7307658064601297</v>
      </c>
      <c r="CE50" s="24">
        <f t="shared" si="65"/>
        <v>2.2515954200000015</v>
      </c>
      <c r="CF50" s="23">
        <f t="shared" si="66"/>
        <v>-7.9472768780841561</v>
      </c>
      <c r="CG50">
        <f t="shared" si="67"/>
        <v>5.7493377796109861</v>
      </c>
      <c r="CH50" s="24">
        <f t="shared" si="68"/>
        <v>2.2502914500000015</v>
      </c>
      <c r="CI50" s="23">
        <f t="shared" si="69"/>
        <v>-7.9622956468189665</v>
      </c>
      <c r="CJ50">
        <f t="shared" si="70"/>
        <v>5.7679293525861342</v>
      </c>
      <c r="CK50" s="24">
        <f t="shared" si="71"/>
        <v>2.2489874800000016</v>
      </c>
      <c r="CL50" s="23">
        <f t="shared" si="72"/>
        <v>-7.9772901599387467</v>
      </c>
      <c r="CM50">
        <f t="shared" si="73"/>
        <v>5.7865404937736251</v>
      </c>
      <c r="CN50" s="24">
        <f t="shared" si="74"/>
        <v>2.2476835100000017</v>
      </c>
      <c r="CO50" s="23">
        <f t="shared" si="75"/>
        <v>-7.9922603919477639</v>
      </c>
      <c r="CP50">
        <f t="shared" si="76"/>
        <v>5.8051711715282375</v>
      </c>
      <c r="CQ50" s="24">
        <f t="shared" si="77"/>
        <v>2.2463795400000017</v>
      </c>
      <c r="CR50" s="23">
        <f t="shared" si="78"/>
        <v>-8.0072063173915708</v>
      </c>
      <c r="CS50">
        <f t="shared" si="79"/>
        <v>5.82382135417153</v>
      </c>
      <c r="CT50" s="24">
        <f t="shared" si="80"/>
        <v>2.2450755700000018</v>
      </c>
      <c r="CU50" s="23">
        <f t="shared" si="81"/>
        <v>-8.0221279108570496</v>
      </c>
      <c r="CV50">
        <f t="shared" si="82"/>
        <v>5.8424910099918979</v>
      </c>
      <c r="CW50" s="24">
        <f t="shared" si="83"/>
        <v>2.2437716000000019</v>
      </c>
      <c r="CY50" s="8">
        <f t="shared" si="129"/>
        <v>1.3660104930510737</v>
      </c>
      <c r="CZ50" s="8">
        <f t="shared" si="92"/>
        <v>1.3773808464111141</v>
      </c>
      <c r="DA50" s="8">
        <f t="shared" si="93"/>
        <v>1.3890964391159053</v>
      </c>
      <c r="DB50" s="8">
        <f t="shared" si="94"/>
        <v>1.401148591452386</v>
      </c>
      <c r="DC50" s="8">
        <f t="shared" si="95"/>
        <v>1.4135286744081355</v>
      </c>
      <c r="DD50" s="8">
        <f t="shared" si="96"/>
        <v>1.4262281276323499</v>
      </c>
      <c r="DE50" s="8">
        <f t="shared" si="97"/>
        <v>1.4392384757350312</v>
      </c>
      <c r="DF50" s="8">
        <f t="shared" si="98"/>
        <v>1.4525513429629504</v>
      </c>
      <c r="DG50" s="8">
        <f t="shared" si="99"/>
        <v>1.4661584663030753</v>
      </c>
      <c r="DH50" s="8">
        <f t="shared" si="100"/>
        <v>1.4800517070740866</v>
      </c>
      <c r="DI50" s="8">
        <f t="shared" si="101"/>
        <v>1.4942230610744709</v>
      </c>
      <c r="DJ50" s="8">
        <f t="shared" si="102"/>
        <v>1.5086646673616173</v>
      </c>
      <c r="DK50" s="8">
        <f t="shared" si="103"/>
        <v>1.5233688157406022</v>
      </c>
      <c r="DL50" s="8">
        <f t="shared" si="104"/>
        <v>1.5383279530440095</v>
      </c>
      <c r="DM50" s="8">
        <f t="shared" si="105"/>
        <v>1.5535346882854721</v>
      </c>
      <c r="DN50" s="8">
        <f t="shared" si="106"/>
        <v>1.5689817967697806</v>
      </c>
      <c r="DO50">
        <f t="shared" si="107"/>
        <v>1.5846622232415364</v>
      </c>
      <c r="DP50" s="8">
        <f t="shared" si="108"/>
        <v>1.6005690841526869</v>
      </c>
      <c r="DQ50">
        <f t="shared" si="109"/>
        <v>1.6166956691268641</v>
      </c>
      <c r="DR50" s="8">
        <f t="shared" si="110"/>
        <v>1.6330354416955943</v>
      </c>
      <c r="DS50">
        <f t="shared" si="111"/>
        <v>1.6495820393780869</v>
      </c>
      <c r="DT50" s="8">
        <f t="shared" si="112"/>
        <v>1.6663292731727142</v>
      </c>
      <c r="DU50">
        <f t="shared" si="113"/>
        <v>1.6832711265244251</v>
      </c>
      <c r="DV50" s="8">
        <f t="shared" si="114"/>
        <v>1.7004017538284228</v>
      </c>
      <c r="DW50">
        <f t="shared" si="115"/>
        <v>1.7177154785263766</v>
      </c>
      <c r="DX50" s="8">
        <f t="shared" si="116"/>
        <v>1.7352067908474837</v>
      </c>
      <c r="DY50">
        <f t="shared" si="117"/>
        <v>1.7528703452427179</v>
      </c>
      <c r="DZ50" s="8">
        <f t="shared" si="118"/>
        <v>1.7707009575567747</v>
      </c>
      <c r="EA50">
        <f t="shared" si="119"/>
        <v>1.7886936019785056</v>
      </c>
      <c r="EB50" s="8">
        <f t="shared" si="120"/>
        <v>1.8068434078070603</v>
      </c>
      <c r="EC50">
        <f t="shared" si="121"/>
        <v>1.3660104930510737</v>
      </c>
      <c r="ED50" s="8">
        <f t="shared" si="122"/>
        <v>1.8068434078070603</v>
      </c>
      <c r="EF50" s="23">
        <f t="shared" si="123"/>
        <v>0.29755831420344281</v>
      </c>
      <c r="EG50" s="8">
        <f t="shared" si="84"/>
        <v>2.4588188874919328</v>
      </c>
      <c r="EH50">
        <f t="shared" si="124"/>
        <v>0.99150000000000005</v>
      </c>
      <c r="EI50" s="8">
        <f t="shared" si="125"/>
        <v>3.7478772016953759</v>
      </c>
    </row>
    <row r="51" spans="7:139" x14ac:dyDescent="0.3">
      <c r="G51" s="10"/>
      <c r="H51" s="10"/>
      <c r="I51" s="6">
        <v>33</v>
      </c>
      <c r="J51" s="6">
        <f t="shared" si="85"/>
        <v>0.23899999999999999</v>
      </c>
      <c r="K51" s="6">
        <f t="shared" si="128"/>
        <v>3.9320200000000027E-2</v>
      </c>
      <c r="L51" s="23">
        <f t="shared" si="130"/>
        <v>-7.5796167531299483</v>
      </c>
      <c r="M51">
        <f t="shared" si="87"/>
        <v>5.3090921812305281</v>
      </c>
      <c r="N51" s="24">
        <f t="shared" si="88"/>
        <v>2.28682272</v>
      </c>
      <c r="O51" s="23">
        <f t="shared" si="89"/>
        <v>-7.5953045241715813</v>
      </c>
      <c r="P51">
        <f t="shared" si="90"/>
        <v>5.3271228173741942</v>
      </c>
      <c r="Q51" s="24">
        <f t="shared" si="91"/>
        <v>2.2907547400000001</v>
      </c>
      <c r="R51" s="23">
        <f t="shared" si="0"/>
        <v>-7.6110630705800153</v>
      </c>
      <c r="S51">
        <f t="shared" si="1"/>
        <v>5.3450916296636368</v>
      </c>
      <c r="T51" s="24">
        <f t="shared" si="2"/>
        <v>2.2946867600000003</v>
      </c>
      <c r="U51" s="23">
        <f t="shared" si="3"/>
        <v>-7.6268921487161245</v>
      </c>
      <c r="V51">
        <f t="shared" si="4"/>
        <v>5.3629983402873371</v>
      </c>
      <c r="W51" s="24">
        <f t="shared" si="5"/>
        <v>2.2986187800000004</v>
      </c>
      <c r="X51" s="23">
        <f t="shared" si="6"/>
        <v>-7.6427915138503097</v>
      </c>
      <c r="Y51">
        <f t="shared" si="7"/>
        <v>5.3808426723939151</v>
      </c>
      <c r="Z51" s="24">
        <f t="shared" si="8"/>
        <v>2.3025508000000006</v>
      </c>
      <c r="AA51" s="23">
        <f t="shared" si="9"/>
        <v>-7.658760920166281</v>
      </c>
      <c r="AB51">
        <f t="shared" si="10"/>
        <v>5.3986243500964104</v>
      </c>
      <c r="AC51" s="24">
        <f t="shared" si="11"/>
        <v>2.3064828200000007</v>
      </c>
      <c r="AD51" s="23">
        <f t="shared" si="12"/>
        <v>-7.674800120764858</v>
      </c>
      <c r="AE51">
        <f t="shared" si="13"/>
        <v>5.4163430984765473</v>
      </c>
      <c r="AF51" s="24">
        <f t="shared" si="14"/>
        <v>2.3104148400000009</v>
      </c>
      <c r="AG51" s="23">
        <f t="shared" si="15"/>
        <v>-7.6909088676677877</v>
      </c>
      <c r="AH51">
        <f t="shared" si="16"/>
        <v>5.4339986435889864</v>
      </c>
      <c r="AI51" s="24">
        <f t="shared" si="17"/>
        <v>2.314346860000001</v>
      </c>
      <c r="AJ51" s="23">
        <f t="shared" si="18"/>
        <v>-7.7070869118215786</v>
      </c>
      <c r="AK51">
        <f t="shared" si="19"/>
        <v>5.4515907124655572</v>
      </c>
      <c r="AL51" s="24">
        <f t="shared" si="20"/>
        <v>2.3182788800000012</v>
      </c>
      <c r="AM51" s="23">
        <f t="shared" si="21"/>
        <v>-7.7233340031013498</v>
      </c>
      <c r="AN51">
        <f t="shared" si="22"/>
        <v>5.4691190331194806</v>
      </c>
      <c r="AO51" s="24">
        <f t="shared" si="23"/>
        <v>2.3222109000000013</v>
      </c>
      <c r="AP51" s="23">
        <f t="shared" si="24"/>
        <v>-7.7396498903147011</v>
      </c>
      <c r="AQ51">
        <f t="shared" si="25"/>
        <v>5.4865833345495751</v>
      </c>
      <c r="AR51" s="24">
        <f t="shared" si="26"/>
        <v>2.3261429200000014</v>
      </c>
      <c r="AS51" s="23">
        <f t="shared" si="27"/>
        <v>-7.7560343212055942</v>
      </c>
      <c r="AT51">
        <f t="shared" si="28"/>
        <v>5.5039833467444428</v>
      </c>
      <c r="AU51" s="24">
        <f t="shared" si="29"/>
        <v>2.3300749400000016</v>
      </c>
      <c r="AV51" s="23">
        <f t="shared" si="30"/>
        <v>-7.7724870424582528</v>
      </c>
      <c r="AW51">
        <f t="shared" si="31"/>
        <v>5.5213188006866485</v>
      </c>
      <c r="AX51" s="24">
        <f t="shared" si="32"/>
        <v>2.3340069600000017</v>
      </c>
      <c r="AY51" s="23">
        <f t="shared" si="33"/>
        <v>-7.7890077997010794</v>
      </c>
      <c r="AZ51">
        <f t="shared" si="34"/>
        <v>5.5385894283568753</v>
      </c>
      <c r="BA51" s="24">
        <f t="shared" si="35"/>
        <v>2.3379389800000019</v>
      </c>
      <c r="BB51" s="23">
        <f t="shared" si="36"/>
        <v>-7.8055963375105888</v>
      </c>
      <c r="BC51">
        <f t="shared" si="37"/>
        <v>5.5557949627380694</v>
      </c>
      <c r="BD51" s="24">
        <f t="shared" si="38"/>
        <v>2.341871000000002</v>
      </c>
      <c r="BE51" s="23">
        <f t="shared" si="39"/>
        <v>-7.8222523994153574</v>
      </c>
      <c r="BF51">
        <f t="shared" si="40"/>
        <v>5.5729351378195711</v>
      </c>
      <c r="BG51" s="24">
        <f t="shared" si="41"/>
        <v>2.3458030200000022</v>
      </c>
      <c r="BH51" s="23">
        <f t="shared" si="42"/>
        <v>-7.8389757278999861</v>
      </c>
      <c r="BI51">
        <f t="shared" si="43"/>
        <v>5.5900096886012225</v>
      </c>
      <c r="BJ51" s="24">
        <f t="shared" si="44"/>
        <v>2.3497350400000023</v>
      </c>
      <c r="BK51" s="23">
        <f t="shared" si="45"/>
        <v>-7.8557660644090843</v>
      </c>
      <c r="BL51">
        <f t="shared" si="46"/>
        <v>5.6070183510974694</v>
      </c>
      <c r="BM51" s="24">
        <f t="shared" si="47"/>
        <v>2.3536670600000025</v>
      </c>
      <c r="BN51" s="23">
        <f t="shared" si="48"/>
        <v>-7.8726231493512664</v>
      </c>
      <c r="BO51">
        <f t="shared" si="49"/>
        <v>5.6239608623414394</v>
      </c>
      <c r="BP51" s="24">
        <f t="shared" si="50"/>
        <v>2.3575990800000026</v>
      </c>
      <c r="BQ51" s="23">
        <f t="shared" si="51"/>
        <v>-7.8895467221031641</v>
      </c>
      <c r="BR51">
        <f t="shared" si="52"/>
        <v>5.6408369603890103</v>
      </c>
      <c r="BS51" s="24">
        <f t="shared" si="53"/>
        <v>2.3615311000000028</v>
      </c>
      <c r="BT51" s="23">
        <f t="shared" si="54"/>
        <v>-7.9065365210134582</v>
      </c>
      <c r="BU51">
        <f t="shared" si="55"/>
        <v>5.6576463843228559</v>
      </c>
      <c r="BV51" s="24">
        <f t="shared" si="56"/>
        <v>2.3654631200000029</v>
      </c>
      <c r="BW51" s="23">
        <f t="shared" si="57"/>
        <v>-7.9235922834069221</v>
      </c>
      <c r="BX51">
        <f t="shared" si="58"/>
        <v>5.6743888742564854</v>
      </c>
      <c r="BY51" s="24">
        <f t="shared" si="59"/>
        <v>2.3693951400000031</v>
      </c>
      <c r="BZ51" s="23">
        <f t="shared" si="60"/>
        <v>-7.940713745588484</v>
      </c>
      <c r="CA51">
        <f t="shared" si="61"/>
        <v>5.6910641713382573</v>
      </c>
      <c r="CB51" s="24">
        <f t="shared" si="62"/>
        <v>2.3733271600000032</v>
      </c>
      <c r="CC51" s="23">
        <f t="shared" si="63"/>
        <v>-7.9579006428473029</v>
      </c>
      <c r="CD51">
        <f t="shared" si="64"/>
        <v>5.7076720177553817</v>
      </c>
      <c r="CE51" s="24">
        <f t="shared" si="65"/>
        <v>2.3772591800000034</v>
      </c>
      <c r="CF51" s="23">
        <f t="shared" si="66"/>
        <v>-7.9751527094608612</v>
      </c>
      <c r="CG51">
        <f t="shared" si="67"/>
        <v>5.7242121567379094</v>
      </c>
      <c r="CH51" s="24">
        <f t="shared" si="68"/>
        <v>2.3811912000000035</v>
      </c>
      <c r="CI51" s="23">
        <f t="shared" si="69"/>
        <v>-7.9924696786990745</v>
      </c>
      <c r="CJ51">
        <f t="shared" si="70"/>
        <v>5.7406843325626991</v>
      </c>
      <c r="CK51" s="24">
        <f t="shared" si="71"/>
        <v>2.3851232200000037</v>
      </c>
      <c r="CL51" s="23">
        <f t="shared" si="72"/>
        <v>-8.0098512828284143</v>
      </c>
      <c r="CM51">
        <f t="shared" si="73"/>
        <v>5.7570882905573706</v>
      </c>
      <c r="CN51" s="24">
        <f t="shared" si="74"/>
        <v>2.3890552400000038</v>
      </c>
      <c r="CO51" s="23">
        <f t="shared" si="75"/>
        <v>-8.0272972531160462</v>
      </c>
      <c r="CP51">
        <f t="shared" si="76"/>
        <v>5.7734237771042434</v>
      </c>
      <c r="CQ51" s="24">
        <f t="shared" si="77"/>
        <v>2.3929872600000039</v>
      </c>
      <c r="CR51" s="23">
        <f t="shared" si="78"/>
        <v>-8.0448073198339873</v>
      </c>
      <c r="CS51">
        <f t="shared" si="79"/>
        <v>5.7896905396442593</v>
      </c>
      <c r="CT51" s="24">
        <f t="shared" si="80"/>
        <v>2.3969192800000041</v>
      </c>
      <c r="CU51" s="23">
        <f t="shared" si="81"/>
        <v>-8.0623812122632739</v>
      </c>
      <c r="CV51">
        <f t="shared" si="82"/>
        <v>5.8058883266808845</v>
      </c>
      <c r="CW51" s="24">
        <f t="shared" si="83"/>
        <v>2.4008513000000042</v>
      </c>
      <c r="CY51" s="8">
        <f t="shared" si="129"/>
        <v>1.3660104930510737</v>
      </c>
      <c r="CZ51" s="8">
        <f t="shared" si="92"/>
        <v>1.3772710775885768</v>
      </c>
      <c r="DA51" s="8">
        <f t="shared" si="93"/>
        <v>1.3887697317811247</v>
      </c>
      <c r="DB51" s="8">
        <f t="shared" si="94"/>
        <v>1.4005004161487531</v>
      </c>
      <c r="DC51" s="8">
        <f t="shared" si="95"/>
        <v>1.4124571704831934</v>
      </c>
      <c r="DD51" s="8">
        <f t="shared" si="96"/>
        <v>1.4246341201713075</v>
      </c>
      <c r="DE51" s="8">
        <f t="shared" si="97"/>
        <v>1.4370254817604118</v>
      </c>
      <c r="DF51" s="8">
        <f t="shared" si="98"/>
        <v>1.4496255678037624</v>
      </c>
      <c r="DG51" s="8">
        <f t="shared" si="99"/>
        <v>1.4624287910259333</v>
      </c>
      <c r="DH51" s="8">
        <f t="shared" si="100"/>
        <v>1.4754296678487291</v>
      </c>
      <c r="DI51" s="8">
        <f t="shared" si="101"/>
        <v>1.4886228213186175</v>
      </c>
      <c r="DJ51" s="8">
        <f t="shared" si="102"/>
        <v>1.5020029834765913</v>
      </c>
      <c r="DK51" s="8">
        <f t="shared" si="103"/>
        <v>1.5155649972109051</v>
      </c>
      <c r="DL51" s="8">
        <f t="shared" si="104"/>
        <v>1.5293038176322966</v>
      </c>
      <c r="DM51" s="8">
        <f t="shared" si="105"/>
        <v>1.5432145130102564</v>
      </c>
      <c r="DN51" s="8">
        <f t="shared" si="106"/>
        <v>1.5572922653075927</v>
      </c>
      <c r="DO51">
        <f t="shared" si="107"/>
        <v>1.571532370349062</v>
      </c>
      <c r="DP51" s="8">
        <f t="shared" si="108"/>
        <v>1.5859302376582494</v>
      </c>
      <c r="DQ51">
        <f t="shared" si="109"/>
        <v>1.6004813899951533</v>
      </c>
      <c r="DR51" s="8">
        <f t="shared" si="110"/>
        <v>1.6151814626252023</v>
      </c>
      <c r="DS51">
        <f t="shared" si="111"/>
        <v>1.630026202348595</v>
      </c>
      <c r="DT51" s="8">
        <f t="shared" si="112"/>
        <v>1.645011466317096</v>
      </c>
      <c r="DU51">
        <f t="shared" si="113"/>
        <v>1.6601332206635766</v>
      </c>
      <c r="DV51" s="8">
        <f t="shared" si="114"/>
        <v>1.675387538967871</v>
      </c>
      <c r="DW51">
        <f t="shared" si="115"/>
        <v>1.6907706005807681</v>
      </c>
      <c r="DX51" s="8">
        <f t="shared" si="116"/>
        <v>1.7062786888262964</v>
      </c>
      <c r="DY51">
        <f t="shared" si="117"/>
        <v>1.7219081891008607</v>
      </c>
      <c r="DZ51" s="8">
        <f t="shared" si="118"/>
        <v>1.7376555868862533</v>
      </c>
      <c r="EA51">
        <f t="shared" si="119"/>
        <v>1.7535174656920933</v>
      </c>
      <c r="EB51" s="8">
        <f t="shared" si="120"/>
        <v>1.7694905049418608</v>
      </c>
      <c r="EC51">
        <f t="shared" si="121"/>
        <v>1.3660104930510737</v>
      </c>
      <c r="ED51" s="8">
        <f t="shared" si="122"/>
        <v>1.7694905049418608</v>
      </c>
      <c r="EF51" s="23">
        <f t="shared" si="123"/>
        <v>0.13893007568906279</v>
      </c>
      <c r="EG51" s="8">
        <f t="shared" si="84"/>
        <v>2.4588188874919328</v>
      </c>
      <c r="EH51">
        <f t="shared" si="124"/>
        <v>0.99150000000000005</v>
      </c>
      <c r="EI51" s="8">
        <f t="shared" si="125"/>
        <v>3.5892489631809958</v>
      </c>
    </row>
    <row r="52" spans="7:139" x14ac:dyDescent="0.3">
      <c r="G52" s="10"/>
      <c r="H52" s="10"/>
      <c r="I52" s="6">
        <v>34</v>
      </c>
      <c r="J52" s="6">
        <f t="shared" si="85"/>
        <v>0.23899999999999999</v>
      </c>
      <c r="K52" s="6">
        <f t="shared" si="128"/>
        <v>9.1680100000000028E-2</v>
      </c>
      <c r="L52" s="23">
        <f t="shared" si="130"/>
        <v>-7.5796167531299483</v>
      </c>
      <c r="M52">
        <f t="shared" si="87"/>
        <v>5.3090921812305281</v>
      </c>
      <c r="N52" s="24">
        <f t="shared" si="88"/>
        <v>2.2920587099999996</v>
      </c>
      <c r="O52" s="23">
        <f t="shared" si="89"/>
        <v>-7.5953987169264794</v>
      </c>
      <c r="P52">
        <f t="shared" si="90"/>
        <v>5.3270404295775107</v>
      </c>
      <c r="Q52" s="24">
        <f t="shared" si="91"/>
        <v>2.3012267199999994</v>
      </c>
      <c r="R52" s="23">
        <f t="shared" si="0"/>
        <v>-7.611344564886835</v>
      </c>
      <c r="S52">
        <f t="shared" si="1"/>
        <v>5.3448432364580345</v>
      </c>
      <c r="T52" s="24">
        <f t="shared" si="2"/>
        <v>2.3103947299999992</v>
      </c>
      <c r="U52" s="23">
        <f t="shared" si="3"/>
        <v>-7.627452956733495</v>
      </c>
      <c r="V52">
        <f t="shared" si="4"/>
        <v>5.3624991055138036</v>
      </c>
      <c r="W52" s="24">
        <f t="shared" si="5"/>
        <v>2.319562739999999</v>
      </c>
      <c r="X52" s="23">
        <f t="shared" si="6"/>
        <v>-7.6437225385268288</v>
      </c>
      <c r="Y52">
        <f t="shared" si="7"/>
        <v>5.3800065527369147</v>
      </c>
      <c r="Z52" s="24">
        <f t="shared" si="8"/>
        <v>2.3287307499999987</v>
      </c>
      <c r="AA52" s="23">
        <f t="shared" si="9"/>
        <v>-7.6601519427788993</v>
      </c>
      <c r="AB52">
        <f t="shared" si="10"/>
        <v>5.3973641065945888</v>
      </c>
      <c r="AC52" s="24">
        <f t="shared" si="11"/>
        <v>2.3378987599999985</v>
      </c>
      <c r="AD52" s="23">
        <f t="shared" si="12"/>
        <v>-7.6767397885683994</v>
      </c>
      <c r="AE52">
        <f t="shared" si="13"/>
        <v>5.4145703081528573</v>
      </c>
      <c r="AF52" s="24">
        <f t="shared" si="14"/>
        <v>2.3470667699999983</v>
      </c>
      <c r="AG52" s="23">
        <f t="shared" si="15"/>
        <v>-7.6934846816567237</v>
      </c>
      <c r="AH52">
        <f t="shared" si="16"/>
        <v>5.4316237111991885</v>
      </c>
      <c r="AI52" s="24">
        <f t="shared" si="17"/>
        <v>2.3562347799999981</v>
      </c>
      <c r="AJ52" s="23">
        <f t="shared" si="18"/>
        <v>-7.7103852146051546</v>
      </c>
      <c r="AK52">
        <f t="shared" si="19"/>
        <v>5.448522882364041</v>
      </c>
      <c r="AL52" s="24">
        <f t="shared" si="20"/>
        <v>2.3654027899999979</v>
      </c>
      <c r="AM52" s="23">
        <f t="shared" si="21"/>
        <v>-7.7274399668931624</v>
      </c>
      <c r="AN52">
        <f t="shared" si="22"/>
        <v>5.4652664012413465</v>
      </c>
      <c r="AO52" s="24">
        <f t="shared" si="23"/>
        <v>2.3745707999999977</v>
      </c>
      <c r="AP52" s="23">
        <f t="shared" si="24"/>
        <v>-7.7446475050378014</v>
      </c>
      <c r="AQ52">
        <f t="shared" si="25"/>
        <v>5.4818528605078924</v>
      </c>
      <c r="AR52" s="24">
        <f t="shared" si="26"/>
        <v>2.3837388099999974</v>
      </c>
      <c r="AS52" s="23">
        <f t="shared" si="27"/>
        <v>-7.7620063827141967</v>
      </c>
      <c r="AT52">
        <f t="shared" si="28"/>
        <v>5.4982808660416129</v>
      </c>
      <c r="AU52" s="24">
        <f t="shared" si="29"/>
        <v>2.3929068199999972</v>
      </c>
      <c r="AV52" s="23">
        <f t="shared" si="30"/>
        <v>-7.7795151408771099</v>
      </c>
      <c r="AW52">
        <f t="shared" si="31"/>
        <v>5.5145490370387664</v>
      </c>
      <c r="AX52" s="24">
        <f t="shared" si="32"/>
        <v>2.402074829999997</v>
      </c>
      <c r="AY52" s="23">
        <f t="shared" si="33"/>
        <v>-7.7971723078835753</v>
      </c>
      <c r="AZ52">
        <f t="shared" si="34"/>
        <v>5.5306560061299948</v>
      </c>
      <c r="BA52" s="24">
        <f t="shared" si="35"/>
        <v>2.4112428399999968</v>
      </c>
      <c r="BB52" s="23">
        <f t="shared" si="36"/>
        <v>-7.8149763996165946</v>
      </c>
      <c r="BC52">
        <f t="shared" si="37"/>
        <v>5.5466004194952534</v>
      </c>
      <c r="BD52" s="24">
        <f t="shared" si="38"/>
        <v>2.4204108499999966</v>
      </c>
      <c r="BE52" s="23">
        <f t="shared" si="39"/>
        <v>-7.8329259196098784</v>
      </c>
      <c r="BF52">
        <f t="shared" si="40"/>
        <v>5.5623809369776023</v>
      </c>
      <c r="BG52" s="24">
        <f t="shared" si="41"/>
        <v>2.4295788599999963</v>
      </c>
      <c r="BH52" s="23">
        <f t="shared" si="42"/>
        <v>-7.8510193591736277</v>
      </c>
      <c r="BI52">
        <f t="shared" si="43"/>
        <v>5.5779962321958481</v>
      </c>
      <c r="BJ52" s="24">
        <f t="shared" si="44"/>
        <v>2.4387468699999961</v>
      </c>
      <c r="BK52" s="23">
        <f t="shared" si="45"/>
        <v>-7.8692551975213414</v>
      </c>
      <c r="BL52">
        <f t="shared" si="46"/>
        <v>5.5934449926560292</v>
      </c>
      <c r="BM52" s="24">
        <f t="shared" si="47"/>
        <v>2.4479148799999959</v>
      </c>
      <c r="BN52" s="23">
        <f t="shared" si="48"/>
        <v>-7.8876319018976426</v>
      </c>
      <c r="BO52">
        <f t="shared" si="49"/>
        <v>5.6087259198617332</v>
      </c>
      <c r="BP52" s="24">
        <f t="shared" si="50"/>
        <v>2.4570828899999957</v>
      </c>
      <c r="BQ52" s="23">
        <f t="shared" si="51"/>
        <v>-7.9061479277071083</v>
      </c>
      <c r="BR52">
        <f t="shared" si="52"/>
        <v>5.6238377294232382</v>
      </c>
      <c r="BS52" s="24">
        <f t="shared" si="53"/>
        <v>2.4662508999999955</v>
      </c>
      <c r="BT52" s="23">
        <f t="shared" si="54"/>
        <v>-7.9248017186440958</v>
      </c>
      <c r="BU52">
        <f t="shared" si="55"/>
        <v>5.6387791511654681</v>
      </c>
      <c r="BV52" s="24">
        <f t="shared" si="56"/>
        <v>2.4754189099999953</v>
      </c>
      <c r="BW52" s="23">
        <f t="shared" si="57"/>
        <v>-7.9435917068235522</v>
      </c>
      <c r="BX52">
        <f t="shared" si="58"/>
        <v>5.6535489292347521</v>
      </c>
      <c r="BY52" s="24">
        <f t="shared" si="59"/>
        <v>2.484586919999995</v>
      </c>
      <c r="BZ52" s="23">
        <f t="shared" si="60"/>
        <v>-7.9625163129127987</v>
      </c>
      <c r="CA52">
        <f t="shared" si="61"/>
        <v>5.6681458222043828</v>
      </c>
      <c r="CB52" s="24">
        <f t="shared" si="62"/>
        <v>2.4937549299999948</v>
      </c>
      <c r="CC52" s="23">
        <f t="shared" si="63"/>
        <v>-7.9815739462642767</v>
      </c>
      <c r="CD52">
        <f t="shared" si="64"/>
        <v>5.68256860317896</v>
      </c>
      <c r="CE52" s="24">
        <f t="shared" si="65"/>
        <v>2.5029229399999946</v>
      </c>
      <c r="CF52" s="23">
        <f t="shared" si="66"/>
        <v>-8.0007630050492455</v>
      </c>
      <c r="CG52">
        <f t="shared" si="67"/>
        <v>5.6968160598975128</v>
      </c>
      <c r="CH52" s="24">
        <f t="shared" si="68"/>
        <v>2.5120909499999944</v>
      </c>
      <c r="CI52" s="23">
        <f t="shared" si="69"/>
        <v>-8.020081876392414</v>
      </c>
      <c r="CJ52">
        <f t="shared" si="70"/>
        <v>5.710886994835394</v>
      </c>
      <c r="CK52" s="24">
        <f t="shared" si="71"/>
        <v>2.5212589599999942</v>
      </c>
      <c r="CL52" s="23">
        <f t="shared" si="72"/>
        <v>-8.039528936507514</v>
      </c>
      <c r="CM52">
        <f t="shared" si="73"/>
        <v>5.7247802253049311</v>
      </c>
      <c r="CN52" s="24">
        <f t="shared" si="74"/>
        <v>2.5304269699999939</v>
      </c>
      <c r="CO52" s="23">
        <f t="shared" si="75"/>
        <v>-8.0591025508337761</v>
      </c>
      <c r="CP52">
        <f t="shared" si="76"/>
        <v>5.7384945835548375</v>
      </c>
      <c r="CQ52" s="24">
        <f t="shared" si="77"/>
        <v>2.5395949799999937</v>
      </c>
      <c r="CR52" s="23">
        <f t="shared" si="78"/>
        <v>-8.0788010741733167</v>
      </c>
      <c r="CS52">
        <f t="shared" si="79"/>
        <v>5.7520289168683609</v>
      </c>
      <c r="CT52" s="24">
        <f t="shared" si="80"/>
        <v>2.5487629899999935</v>
      </c>
      <c r="CU52" s="23">
        <f t="shared" si="81"/>
        <v>-8.0986228508294271</v>
      </c>
      <c r="CV52">
        <f t="shared" si="82"/>
        <v>5.7653820876601722</v>
      </c>
      <c r="CW52" s="24">
        <f t="shared" si="83"/>
        <v>2.5579309999999933</v>
      </c>
      <c r="CY52" s="8">
        <f t="shared" si="129"/>
        <v>1.3660104930510737</v>
      </c>
      <c r="CZ52" s="8">
        <f t="shared" si="92"/>
        <v>1.3771609982249688</v>
      </c>
      <c r="DA52" s="8">
        <f t="shared" si="93"/>
        <v>1.3884414485901906</v>
      </c>
      <c r="DB52" s="8">
        <f t="shared" si="94"/>
        <v>1.3998477661283335</v>
      </c>
      <c r="DC52" s="8">
        <f t="shared" si="95"/>
        <v>1.4113759521659357</v>
      </c>
      <c r="DD52" s="8">
        <f t="shared" si="96"/>
        <v>1.4230220877552384</v>
      </c>
      <c r="DE52" s="8">
        <f t="shared" si="97"/>
        <v>1.434782333827346</v>
      </c>
      <c r="DF52" s="8">
        <f t="shared" si="98"/>
        <v>1.4466529311377601</v>
      </c>
      <c r="DG52" s="8">
        <f t="shared" si="99"/>
        <v>1.4586302000233249</v>
      </c>
      <c r="DH52" s="8">
        <f t="shared" si="100"/>
        <v>1.4707105399886562</v>
      </c>
      <c r="DI52" s="8">
        <f t="shared" si="101"/>
        <v>1.4828904291391098</v>
      </c>
      <c r="DJ52" s="8">
        <f t="shared" si="102"/>
        <v>1.4951664234763826</v>
      </c>
      <c r="DK52" s="8">
        <f t="shared" si="103"/>
        <v>1.5075351560718244</v>
      </c>
      <c r="DL52" s="8">
        <f t="shared" si="104"/>
        <v>1.5199933361315745</v>
      </c>
      <c r="DM52" s="8">
        <f t="shared" si="105"/>
        <v>1.5325377479666795</v>
      </c>
      <c r="DN52" s="8">
        <f t="shared" si="106"/>
        <v>1.5451652498804205</v>
      </c>
      <c r="DO52">
        <f t="shared" si="107"/>
        <v>1.5578727729841773</v>
      </c>
      <c r="DP52" s="8">
        <f t="shared" si="108"/>
        <v>1.5706573199522991</v>
      </c>
      <c r="DQ52">
        <f t="shared" si="109"/>
        <v>1.5835159637256175</v>
      </c>
      <c r="DR52" s="8">
        <f t="shared" si="110"/>
        <v>1.596445846172464</v>
      </c>
      <c r="DS52">
        <f t="shared" si="111"/>
        <v>1.6094441767152865</v>
      </c>
      <c r="DT52" s="8">
        <f t="shared" si="112"/>
        <v>1.622508230930275</v>
      </c>
      <c r="DU52">
        <f t="shared" si="113"/>
        <v>1.6356353491267288</v>
      </c>
      <c r="DV52" s="8">
        <f t="shared" si="114"/>
        <v>1.6488229349122745</v>
      </c>
      <c r="DW52">
        <f t="shared" si="115"/>
        <v>1.6620684537494577</v>
      </c>
      <c r="DX52" s="8">
        <f t="shared" si="116"/>
        <v>1.6753694315086929</v>
      </c>
      <c r="DY52">
        <f t="shared" si="117"/>
        <v>1.6887234530220341</v>
      </c>
      <c r="DZ52" s="8">
        <f t="shared" si="118"/>
        <v>1.7021281606417697</v>
      </c>
      <c r="EA52">
        <f t="shared" si="119"/>
        <v>1.7155812528073955</v>
      </c>
      <c r="EB52" s="8">
        <f t="shared" si="120"/>
        <v>1.7290804826241204</v>
      </c>
      <c r="EC52">
        <f t="shared" si="121"/>
        <v>1.3660104930510737</v>
      </c>
      <c r="ED52" s="8">
        <f t="shared" si="122"/>
        <v>1.7290804826241204</v>
      </c>
      <c r="EF52" s="23">
        <f t="shared" si="123"/>
        <v>1.9726735290113151E-2</v>
      </c>
      <c r="EG52" s="8">
        <f t="shared" si="84"/>
        <v>2.4588188874919328</v>
      </c>
      <c r="EH52">
        <f t="shared" si="124"/>
        <v>0.99150000000000005</v>
      </c>
      <c r="EI52" s="8">
        <f t="shared" si="125"/>
        <v>3.4700456227820462</v>
      </c>
    </row>
    <row r="53" spans="7:139" x14ac:dyDescent="0.3">
      <c r="G53" s="10"/>
      <c r="H53" s="10"/>
      <c r="I53" s="6">
        <v>35</v>
      </c>
      <c r="J53" s="6">
        <f t="shared" si="85"/>
        <v>0.23899999999999999</v>
      </c>
      <c r="K53" s="6">
        <f t="shared" si="128"/>
        <v>0.14404000000000003</v>
      </c>
      <c r="L53" s="23">
        <f t="shared" si="130"/>
        <v>-7.5796167531299483</v>
      </c>
      <c r="M53">
        <f t="shared" si="87"/>
        <v>5.3090921812305281</v>
      </c>
      <c r="N53" s="24">
        <f t="shared" si="88"/>
        <v>2.2972946999999997</v>
      </c>
      <c r="O53" s="23">
        <f t="shared" si="89"/>
        <v>-7.595492477010497</v>
      </c>
      <c r="P53">
        <f t="shared" si="90"/>
        <v>5.3269575497201105</v>
      </c>
      <c r="Q53" s="24">
        <f t="shared" si="91"/>
        <v>2.3116986999999996</v>
      </c>
      <c r="R53" s="23">
        <f t="shared" si="0"/>
        <v>-7.6116238778793539</v>
      </c>
      <c r="S53">
        <f t="shared" si="1"/>
        <v>5.3445923989116473</v>
      </c>
      <c r="T53" s="24">
        <f t="shared" si="2"/>
        <v>2.3261026999999994</v>
      </c>
      <c r="U53" s="23">
        <f t="shared" si="3"/>
        <v>-7.6280076089285043</v>
      </c>
      <c r="V53">
        <f t="shared" si="4"/>
        <v>5.3619930700742522</v>
      </c>
      <c r="W53" s="24">
        <f t="shared" si="5"/>
        <v>2.3405066999999993</v>
      </c>
      <c r="X53" s="23">
        <f t="shared" si="6"/>
        <v>-7.6446402709985808</v>
      </c>
      <c r="Y53">
        <f t="shared" si="7"/>
        <v>5.3791559530623356</v>
      </c>
      <c r="Z53" s="24">
        <f t="shared" si="8"/>
        <v>2.3549106999999991</v>
      </c>
      <c r="AA53" s="23">
        <f t="shared" si="9"/>
        <v>-7.6615184132840914</v>
      </c>
      <c r="AB53">
        <f t="shared" si="10"/>
        <v>5.3960774870646073</v>
      </c>
      <c r="AC53" s="24">
        <f t="shared" si="11"/>
        <v>2.369314699999999</v>
      </c>
      <c r="AD53" s="23">
        <f t="shared" si="12"/>
        <v>-7.678638534049365</v>
      </c>
      <c r="AE53">
        <f t="shared" si="13"/>
        <v>5.4127541613428463</v>
      </c>
      <c r="AF53" s="24">
        <f t="shared" si="14"/>
        <v>2.3837186999999989</v>
      </c>
      <c r="AG53" s="23">
        <f t="shared" si="15"/>
        <v>-7.6959970813550589</v>
      </c>
      <c r="AH53">
        <f t="shared" si="16"/>
        <v>5.4291825159602753</v>
      </c>
      <c r="AI53" s="24">
        <f t="shared" si="17"/>
        <v>2.3981226999999987</v>
      </c>
      <c r="AJ53" s="23">
        <f t="shared" si="18"/>
        <v>-7.7135904537950895</v>
      </c>
      <c r="AK53">
        <f t="shared" si="19"/>
        <v>5.4453591424994023</v>
      </c>
      <c r="AL53" s="24">
        <f t="shared" si="20"/>
        <v>2.4125266999999986</v>
      </c>
      <c r="AM53" s="23">
        <f t="shared" si="21"/>
        <v>-7.7314150012438194</v>
      </c>
      <c r="AN53">
        <f t="shared" si="22"/>
        <v>5.4612806847691697</v>
      </c>
      <c r="AO53" s="24">
        <f t="shared" si="23"/>
        <v>2.4269306999999984</v>
      </c>
      <c r="AP53" s="23">
        <f t="shared" si="24"/>
        <v>-7.7494670256133551</v>
      </c>
      <c r="AQ53">
        <f t="shared" si="25"/>
        <v>5.4769438395012688</v>
      </c>
      <c r="AR53" s="24">
        <f t="shared" si="26"/>
        <v>2.4413346999999983</v>
      </c>
      <c r="AS53" s="23">
        <f t="shared" si="27"/>
        <v>-7.7677427816207967</v>
      </c>
      <c r="AT53">
        <f t="shared" si="28"/>
        <v>5.4923453570354743</v>
      </c>
      <c r="AU53" s="24">
        <f t="shared" si="29"/>
        <v>2.4557386999999982</v>
      </c>
      <c r="AV53" s="23">
        <f t="shared" si="30"/>
        <v>-7.7862384775652771</v>
      </c>
      <c r="AW53">
        <f t="shared" si="31"/>
        <v>5.5074820419938568</v>
      </c>
      <c r="AX53" s="24">
        <f t="shared" si="32"/>
        <v>2.470142699999998</v>
      </c>
      <c r="AY53" s="23">
        <f t="shared" si="33"/>
        <v>-7.8049502761146314</v>
      </c>
      <c r="AZ53">
        <f t="shared" si="34"/>
        <v>5.5223507539437326</v>
      </c>
      <c r="BA53" s="24">
        <f t="shared" si="35"/>
        <v>2.4845466999999979</v>
      </c>
      <c r="BB53" s="23">
        <f t="shared" si="36"/>
        <v>-7.8238742951015361</v>
      </c>
      <c r="BC53">
        <f t="shared" si="37"/>
        <v>5.5369484080492137</v>
      </c>
      <c r="BD53" s="24">
        <f t="shared" si="38"/>
        <v>2.4989506999999977</v>
      </c>
      <c r="BE53" s="23">
        <f t="shared" si="39"/>
        <v>-7.8430066083289471</v>
      </c>
      <c r="BF53">
        <f t="shared" si="40"/>
        <v>5.5512719757112254</v>
      </c>
      <c r="BG53" s="24">
        <f t="shared" si="41"/>
        <v>2.5133546999999976</v>
      </c>
      <c r="BH53" s="23">
        <f t="shared" si="42"/>
        <v>-7.8623432463846754</v>
      </c>
      <c r="BI53">
        <f t="shared" si="43"/>
        <v>5.5653184851958537</v>
      </c>
      <c r="BJ53" s="24">
        <f t="shared" si="44"/>
        <v>2.5277586999999975</v>
      </c>
      <c r="BK53" s="23">
        <f t="shared" si="45"/>
        <v>-7.8818801974649269</v>
      </c>
      <c r="BL53">
        <f t="shared" si="46"/>
        <v>5.5790850222508963</v>
      </c>
      <c r="BM53" s="24">
        <f t="shared" si="47"/>
        <v>2.5421626999999973</v>
      </c>
      <c r="BN53" s="23">
        <f t="shared" si="48"/>
        <v>-7.9016134082066376</v>
      </c>
      <c r="BO53">
        <f t="shared" si="49"/>
        <v>5.5925687307104868</v>
      </c>
      <c r="BP53" s="24">
        <f t="shared" si="50"/>
        <v>2.5565666999999972</v>
      </c>
      <c r="BQ53" s="23">
        <f t="shared" si="51"/>
        <v>-7.9215387845284324</v>
      </c>
      <c r="BR53">
        <f t="shared" si="52"/>
        <v>5.6057668130876674</v>
      </c>
      <c r="BS53" s="24">
        <f t="shared" si="53"/>
        <v>2.5709706999999971</v>
      </c>
      <c r="BT53" s="23">
        <f t="shared" si="54"/>
        <v>-7.9416521924800305</v>
      </c>
      <c r="BU53">
        <f t="shared" si="55"/>
        <v>5.6186765311547902</v>
      </c>
      <c r="BV53" s="24">
        <f t="shared" si="56"/>
        <v>2.5853746999999969</v>
      </c>
      <c r="BW53" s="23">
        <f t="shared" si="57"/>
        <v>-7.9619494590999214</v>
      </c>
      <c r="BX53">
        <f t="shared" si="58"/>
        <v>5.6312952065116191</v>
      </c>
      <c r="BY53" s="24">
        <f t="shared" si="59"/>
        <v>2.5997786999999968</v>
      </c>
      <c r="BZ53" s="23">
        <f t="shared" si="60"/>
        <v>-7.9824263732811387</v>
      </c>
      <c r="CA53">
        <f t="shared" si="61"/>
        <v>5.643620221141024</v>
      </c>
      <c r="CB53" s="24">
        <f t="shared" si="62"/>
        <v>2.6141826999999966</v>
      </c>
      <c r="CC53" s="23">
        <f t="shared" si="63"/>
        <v>-8.0030786866449439</v>
      </c>
      <c r="CD53">
        <f t="shared" si="64"/>
        <v>5.6556490179521441</v>
      </c>
      <c r="CE53" s="24">
        <f t="shared" si="65"/>
        <v>2.6285866999999965</v>
      </c>
      <c r="CF53" s="23">
        <f t="shared" si="66"/>
        <v>-8.023902114422242</v>
      </c>
      <c r="CG53">
        <f t="shared" si="67"/>
        <v>5.667379101310912</v>
      </c>
      <c r="CH53" s="24">
        <f t="shared" si="68"/>
        <v>2.6429906999999964</v>
      </c>
      <c r="CI53" s="23">
        <f t="shared" si="69"/>
        <v>-8.0448923363425546</v>
      </c>
      <c r="CJ53">
        <f t="shared" si="70"/>
        <v>5.6788080375578263</v>
      </c>
      <c r="CK53" s="24">
        <f t="shared" si="71"/>
        <v>2.6573946999999962</v>
      </c>
      <c r="CL53" s="23">
        <f t="shared" si="72"/>
        <v>-8.0660449975303496</v>
      </c>
      <c r="CM53">
        <f t="shared" si="73"/>
        <v>5.6899334555128673</v>
      </c>
      <c r="CN53" s="24">
        <f t="shared" si="74"/>
        <v>2.6717986999999961</v>
      </c>
      <c r="CO53" s="23">
        <f t="shared" si="75"/>
        <v>-8.0873557094085555</v>
      </c>
      <c r="CP53">
        <f t="shared" si="76"/>
        <v>5.7007530469674501</v>
      </c>
      <c r="CQ53" s="24">
        <f t="shared" si="77"/>
        <v>2.6862026999999959</v>
      </c>
      <c r="CR53" s="23">
        <f t="shared" si="78"/>
        <v>-8.1088200506090669</v>
      </c>
      <c r="CS53">
        <f t="shared" si="79"/>
        <v>5.7112645671633127</v>
      </c>
      <c r="CT53" s="24">
        <f t="shared" si="80"/>
        <v>2.7006066999999958</v>
      </c>
      <c r="CU53" s="23">
        <f t="shared" si="81"/>
        <v>-8.1304335678900532</v>
      </c>
      <c r="CV53">
        <f t="shared" si="82"/>
        <v>5.7214658352582379</v>
      </c>
      <c r="CW53" s="24">
        <f t="shared" si="83"/>
        <v>2.7150106999999957</v>
      </c>
      <c r="CY53" s="8">
        <f t="shared" si="129"/>
        <v>1.3660104930510737</v>
      </c>
      <c r="CZ53" s="8">
        <f t="shared" si="92"/>
        <v>1.3770506112640635</v>
      </c>
      <c r="DA53" s="8">
        <f t="shared" si="93"/>
        <v>1.3881116154541753</v>
      </c>
      <c r="DB53" s="8">
        <f t="shared" si="94"/>
        <v>1.399190742692491</v>
      </c>
      <c r="DC53" s="8">
        <f t="shared" si="95"/>
        <v>1.410285294367587</v>
      </c>
      <c r="DD53" s="8">
        <f t="shared" si="96"/>
        <v>1.4213926344655625</v>
      </c>
      <c r="DE53" s="8">
        <f t="shared" si="97"/>
        <v>1.4325101878744582</v>
      </c>
      <c r="DF53" s="8">
        <f t="shared" si="98"/>
        <v>1.4436354387159498</v>
      </c>
      <c r="DG53" s="8">
        <f t="shared" si="99"/>
        <v>1.454765928706772</v>
      </c>
      <c r="DH53" s="8">
        <f t="shared" si="100"/>
        <v>1.4658992555519126</v>
      </c>
      <c r="DI53" s="8">
        <f t="shared" si="101"/>
        <v>1.4770330713712652</v>
      </c>
      <c r="DJ53" s="8">
        <f t="shared" si="102"/>
        <v>1.4881650811611027</v>
      </c>
      <c r="DK53" s="8">
        <f t="shared" si="103"/>
        <v>1.4992930412914474</v>
      </c>
      <c r="DL53" s="8">
        <f t="shared" si="104"/>
        <v>1.5104147580401397</v>
      </c>
      <c r="DM53" s="8">
        <f t="shared" si="105"/>
        <v>1.5215280861641947</v>
      </c>
      <c r="DN53" s="8">
        <f t="shared" si="106"/>
        <v>1.5326309275088179</v>
      </c>
      <c r="DO53">
        <f t="shared" si="107"/>
        <v>1.5437212296542682</v>
      </c>
      <c r="DP53" s="8">
        <f t="shared" si="108"/>
        <v>1.5547969846006024</v>
      </c>
      <c r="DQ53">
        <f t="shared" si="109"/>
        <v>1.565856227490191</v>
      </c>
      <c r="DR53" s="8">
        <f t="shared" si="110"/>
        <v>1.5768970353677687</v>
      </c>
      <c r="DS53">
        <f t="shared" si="111"/>
        <v>1.5879175259776845</v>
      </c>
      <c r="DT53" s="8">
        <f t="shared" si="112"/>
        <v>1.5989158565979118</v>
      </c>
      <c r="DU53">
        <f t="shared" si="113"/>
        <v>1.6098902229103091</v>
      </c>
      <c r="DV53" s="8">
        <f t="shared" si="114"/>
        <v>1.6208388579065509</v>
      </c>
      <c r="DW53">
        <f t="shared" si="115"/>
        <v>1.6317600308290912</v>
      </c>
      <c r="DX53" s="8">
        <f t="shared" si="116"/>
        <v>1.6426520461464742</v>
      </c>
      <c r="DY53">
        <f t="shared" si="117"/>
        <v>1.6535132425622705</v>
      </c>
      <c r="DZ53" s="8">
        <f t="shared" si="118"/>
        <v>1.6643419920568829</v>
      </c>
      <c r="EA53">
        <f t="shared" si="119"/>
        <v>1.6751366989614462</v>
      </c>
      <c r="EB53" s="8">
        <f t="shared" si="120"/>
        <v>1.6858957990630177</v>
      </c>
      <c r="EC53">
        <f t="shared" si="121"/>
        <v>1.3660104930510737</v>
      </c>
      <c r="ED53" s="8">
        <f t="shared" si="122"/>
        <v>1.6858957990630177</v>
      </c>
      <c r="EF53" s="23">
        <f t="shared" si="123"/>
        <v>0.17839251132895617</v>
      </c>
      <c r="EG53" s="8">
        <f t="shared" si="84"/>
        <v>2.4588188874919328</v>
      </c>
      <c r="EH53">
        <f t="shared" si="124"/>
        <v>0.99150000000000005</v>
      </c>
      <c r="EI53" s="8">
        <f t="shared" si="125"/>
        <v>3.6287113988208892</v>
      </c>
    </row>
    <row r="54" spans="7:139" x14ac:dyDescent="0.3">
      <c r="G54" s="10"/>
      <c r="H54" s="10"/>
      <c r="I54" s="6">
        <v>36</v>
      </c>
      <c r="J54" s="6">
        <f t="shared" si="85"/>
        <v>0.23899999999999999</v>
      </c>
      <c r="K54" s="6">
        <f t="shared" si="128"/>
        <v>0.19639990000000002</v>
      </c>
      <c r="L54" s="23">
        <f t="shared" si="130"/>
        <v>-7.5796167531299483</v>
      </c>
      <c r="M54">
        <f t="shared" si="87"/>
        <v>5.3090921812305281</v>
      </c>
      <c r="N54" s="24">
        <f t="shared" si="88"/>
        <v>2.3025306899999998</v>
      </c>
      <c r="O54" s="23">
        <f t="shared" si="89"/>
        <v>-7.5955858018531517</v>
      </c>
      <c r="P54">
        <f t="shared" si="90"/>
        <v>5.3268741800741886</v>
      </c>
      <c r="Q54" s="24">
        <f t="shared" si="91"/>
        <v>2.3221706799999997</v>
      </c>
      <c r="R54" s="23">
        <f t="shared" si="0"/>
        <v>-7.6119009866391032</v>
      </c>
      <c r="S54">
        <f t="shared" si="1"/>
        <v>5.3443391377151412</v>
      </c>
      <c r="T54" s="24">
        <f t="shared" si="2"/>
        <v>2.3418106699999997</v>
      </c>
      <c r="U54" s="23">
        <f t="shared" si="3"/>
        <v>-7.6285560144467981</v>
      </c>
      <c r="V54">
        <f t="shared" si="4"/>
        <v>5.3614803176256638</v>
      </c>
      <c r="W54" s="24">
        <f t="shared" si="5"/>
        <v>2.3614506599999996</v>
      </c>
      <c r="X54" s="23">
        <f t="shared" si="6"/>
        <v>-7.645544461152066</v>
      </c>
      <c r="Y54">
        <f t="shared" si="7"/>
        <v>5.3782911081645493</v>
      </c>
      <c r="Z54" s="24">
        <f t="shared" si="8"/>
        <v>2.3810906499999995</v>
      </c>
      <c r="AA54" s="23">
        <f t="shared" si="9"/>
        <v>-7.6628597740254625</v>
      </c>
      <c r="AB54">
        <f t="shared" si="10"/>
        <v>5.3947650251273229</v>
      </c>
      <c r="AC54" s="24">
        <f t="shared" si="11"/>
        <v>2.4007306399999995</v>
      </c>
      <c r="AD54" s="23">
        <f t="shared" si="12"/>
        <v>-7.6804952742597701</v>
      </c>
      <c r="AE54">
        <f t="shared" si="13"/>
        <v>5.410895714247312</v>
      </c>
      <c r="AF54" s="24">
        <f t="shared" si="14"/>
        <v>2.4203706299999994</v>
      </c>
      <c r="AG54" s="23">
        <f t="shared" si="15"/>
        <v>-7.6984441595461224</v>
      </c>
      <c r="AH54">
        <f t="shared" si="16"/>
        <v>5.4266769536465906</v>
      </c>
      <c r="AI54" s="24">
        <f t="shared" si="17"/>
        <v>2.4400106199999994</v>
      </c>
      <c r="AJ54" s="23">
        <f t="shared" si="18"/>
        <v>-7.7166995066977719</v>
      </c>
      <c r="AK54">
        <f t="shared" si="19"/>
        <v>5.442102656235865</v>
      </c>
      <c r="AL54" s="24">
        <f t="shared" si="20"/>
        <v>2.4596506099999993</v>
      </c>
      <c r="AM54" s="23">
        <f t="shared" si="21"/>
        <v>-7.7352542743204786</v>
      </c>
      <c r="AN54">
        <f t="shared" si="22"/>
        <v>5.4571668720623645</v>
      </c>
      <c r="AO54" s="24">
        <f t="shared" si="23"/>
        <v>2.4792905999999992</v>
      </c>
      <c r="AP54" s="23">
        <f t="shared" si="24"/>
        <v>-7.7541013055284935</v>
      </c>
      <c r="AQ54">
        <f t="shared" si="25"/>
        <v>5.4718637906048384</v>
      </c>
      <c r="AR54" s="24">
        <f t="shared" si="26"/>
        <v>2.4989305899999992</v>
      </c>
      <c r="AS54" s="23">
        <f t="shared" si="27"/>
        <v>-7.7732333307050903</v>
      </c>
      <c r="AT54">
        <f t="shared" si="28"/>
        <v>5.4861877430147725</v>
      </c>
      <c r="AU54" s="24">
        <f t="shared" si="29"/>
        <v>2.5185705799999991</v>
      </c>
      <c r="AV54" s="23">
        <f t="shared" si="30"/>
        <v>-7.7926429703065789</v>
      </c>
      <c r="AW54">
        <f t="shared" si="31"/>
        <v>5.5001332043029594</v>
      </c>
      <c r="AX54" s="24">
        <f t="shared" si="32"/>
        <v>2.5382105699999991</v>
      </c>
      <c r="AY54" s="23">
        <f t="shared" si="33"/>
        <v>-7.812322737708719</v>
      </c>
      <c r="AZ54">
        <f t="shared" si="34"/>
        <v>5.5136947954705784</v>
      </c>
      <c r="BA54" s="24">
        <f t="shared" si="35"/>
        <v>2.557850559999999</v>
      </c>
      <c r="BB54" s="23">
        <f t="shared" si="36"/>
        <v>-7.8322650420944377</v>
      </c>
      <c r="BC54">
        <f t="shared" si="37"/>
        <v>5.5268672855839673</v>
      </c>
      <c r="BD54" s="24">
        <f t="shared" si="38"/>
        <v>2.5774905499999989</v>
      </c>
      <c r="BE54" s="23">
        <f t="shared" si="39"/>
        <v>-7.8524621913817345</v>
      </c>
      <c r="BF54">
        <f t="shared" si="40"/>
        <v>5.5396455937922804</v>
      </c>
      <c r="BG54" s="24">
        <f t="shared" si="41"/>
        <v>2.5971305399999989</v>
      </c>
      <c r="BH54" s="23">
        <f t="shared" si="42"/>
        <v>-7.8729063951906468</v>
      </c>
      <c r="BI54">
        <f t="shared" si="43"/>
        <v>5.5520247912872582</v>
      </c>
      <c r="BJ54" s="24">
        <f t="shared" si="44"/>
        <v>2.6167705299999988</v>
      </c>
      <c r="BK54" s="23">
        <f t="shared" si="45"/>
        <v>-7.8935897678481304</v>
      </c>
      <c r="BL54">
        <f t="shared" si="46"/>
        <v>5.5640001032043518</v>
      </c>
      <c r="BM54" s="24">
        <f t="shared" si="47"/>
        <v>2.6364105199999988</v>
      </c>
      <c r="BN54" s="23">
        <f t="shared" si="48"/>
        <v>-7.9145043314296952</v>
      </c>
      <c r="BO54">
        <f t="shared" si="49"/>
        <v>5.5755669104644685</v>
      </c>
      <c r="BP54" s="24">
        <f t="shared" si="50"/>
        <v>2.6560505099999987</v>
      </c>
      <c r="BQ54" s="23">
        <f t="shared" si="51"/>
        <v>-7.935642018836627</v>
      </c>
      <c r="BR54">
        <f t="shared" si="52"/>
        <v>5.5867207515556281</v>
      </c>
      <c r="BS54" s="24">
        <f t="shared" si="53"/>
        <v>2.6756904999999986</v>
      </c>
      <c r="BT54" s="23">
        <f t="shared" si="54"/>
        <v>-7.9569946769076019</v>
      </c>
      <c r="BU54">
        <f t="shared" si="55"/>
        <v>5.5974573242538428</v>
      </c>
      <c r="BV54" s="24">
        <f t="shared" si="56"/>
        <v>2.6953304899999986</v>
      </c>
      <c r="BW54" s="23">
        <f t="shared" si="57"/>
        <v>-7.9785540695634962</v>
      </c>
      <c r="BX54">
        <f t="shared" si="58"/>
        <v>5.6077724872825581</v>
      </c>
      <c r="BY54" s="24">
        <f t="shared" si="59"/>
        <v>2.7149704799999985</v>
      </c>
      <c r="BZ54" s="23">
        <f t="shared" si="60"/>
        <v>-8.0003118809841833</v>
      </c>
      <c r="CA54">
        <f t="shared" si="61"/>
        <v>5.6176622619100121</v>
      </c>
      <c r="CB54" s="24">
        <f t="shared" si="62"/>
        <v>2.7346104699999985</v>
      </c>
      <c r="CC54" s="23">
        <f t="shared" si="63"/>
        <v>-8.0222597188160822</v>
      </c>
      <c r="CD54">
        <f t="shared" si="64"/>
        <v>5.6271228334838987</v>
      </c>
      <c r="CE54" s="24">
        <f t="shared" si="65"/>
        <v>2.7542504599999984</v>
      </c>
      <c r="CF54" s="23">
        <f t="shared" si="66"/>
        <v>-8.0443891174092332</v>
      </c>
      <c r="CG54">
        <f t="shared" si="67"/>
        <v>5.6361505529027447</v>
      </c>
      <c r="CH54" s="24">
        <f t="shared" si="68"/>
        <v>2.7738904499999983</v>
      </c>
      <c r="CI54" s="23">
        <f t="shared" si="69"/>
        <v>-8.0666915410826388</v>
      </c>
      <c r="CJ54">
        <f t="shared" si="70"/>
        <v>5.6447419380234285</v>
      </c>
      <c r="CK54" s="24">
        <f t="shared" si="71"/>
        <v>2.7935304399999983</v>
      </c>
      <c r="CL54" s="23">
        <f t="shared" si="72"/>
        <v>-8.0891583874166191</v>
      </c>
      <c r="CM54">
        <f t="shared" si="73"/>
        <v>5.6528936750043011</v>
      </c>
      <c r="CN54" s="24">
        <f t="shared" si="74"/>
        <v>2.8131704299999982</v>
      </c>
      <c r="CO54" s="23">
        <f t="shared" si="75"/>
        <v>-8.1117809905709102</v>
      </c>
      <c r="CP54">
        <f t="shared" si="76"/>
        <v>5.6606026195833916</v>
      </c>
      <c r="CQ54" s="24">
        <f t="shared" si="77"/>
        <v>2.8328104199999982</v>
      </c>
      <c r="CR54" s="23">
        <f t="shared" si="78"/>
        <v>-8.1345506246272237</v>
      </c>
      <c r="CS54">
        <f t="shared" si="79"/>
        <v>5.6678657982912002</v>
      </c>
      <c r="CT54" s="24">
        <f t="shared" si="80"/>
        <v>2.8524504099999981</v>
      </c>
      <c r="CU54" s="23">
        <f t="shared" si="81"/>
        <v>-8.157458506954983</v>
      </c>
      <c r="CV54">
        <f t="shared" si="82"/>
        <v>5.6746804095976158</v>
      </c>
      <c r="CW54" s="24">
        <f t="shared" si="83"/>
        <v>2.872090399999998</v>
      </c>
      <c r="CY54" s="8">
        <f t="shared" si="129"/>
        <v>1.3660104930510737</v>
      </c>
      <c r="CZ54" s="8">
        <f t="shared" si="92"/>
        <v>1.3769399196585634</v>
      </c>
      <c r="DA54" s="8">
        <f t="shared" si="93"/>
        <v>1.3877802584397183</v>
      </c>
      <c r="DB54" s="8">
        <f t="shared" si="94"/>
        <v>1.3985294480617014</v>
      </c>
      <c r="DC54" s="8">
        <f t="shared" si="95"/>
        <v>1.4091854753909434</v>
      </c>
      <c r="DD54" s="8">
        <f t="shared" si="96"/>
        <v>1.4197463739314047</v>
      </c>
      <c r="DE54" s="8">
        <f t="shared" si="97"/>
        <v>1.4302102223491877</v>
      </c>
      <c r="DF54" s="8">
        <f t="shared" si="98"/>
        <v>1.4405751430785849</v>
      </c>
      <c r="DG54" s="8">
        <f t="shared" si="99"/>
        <v>1.4508393010049625</v>
      </c>
      <c r="DH54" s="8">
        <f t="shared" si="100"/>
        <v>1.4610009022201154</v>
      </c>
      <c r="DI54" s="8">
        <f t="shared" si="101"/>
        <v>1.4710581928460007</v>
      </c>
      <c r="DJ54" s="8">
        <f t="shared" si="102"/>
        <v>1.4810094579229875</v>
      </c>
      <c r="DK54" s="8">
        <f t="shared" si="103"/>
        <v>1.4908530203589738</v>
      </c>
      <c r="DL54" s="8">
        <f t="shared" si="104"/>
        <v>1.5005872399359519</v>
      </c>
      <c r="DM54" s="8">
        <f t="shared" si="105"/>
        <v>1.5102105123707861</v>
      </c>
      <c r="DN54" s="8">
        <f t="shared" si="106"/>
        <v>1.5197212684271628</v>
      </c>
      <c r="DO54">
        <f t="shared" si="107"/>
        <v>1.5291179730758464</v>
      </c>
      <c r="DP54" s="8">
        <f t="shared" si="108"/>
        <v>1.5383991247005422</v>
      </c>
      <c r="DQ54">
        <f t="shared" si="109"/>
        <v>1.5475632543468281</v>
      </c>
      <c r="DR54" s="8">
        <f t="shared" si="110"/>
        <v>1.556608925011751</v>
      </c>
      <c r="DS54">
        <f t="shared" si="111"/>
        <v>1.565534730971843</v>
      </c>
      <c r="DT54" s="8">
        <f t="shared" si="112"/>
        <v>1.5743392971474266</v>
      </c>
      <c r="DU54">
        <f t="shared" si="113"/>
        <v>1.5830212785012041</v>
      </c>
      <c r="DV54" s="8">
        <f t="shared" si="114"/>
        <v>1.5915793594692504</v>
      </c>
      <c r="DW54">
        <f t="shared" si="115"/>
        <v>1.6000122534226286</v>
      </c>
      <c r="DX54" s="8">
        <f t="shared" si="116"/>
        <v>1.608318702157951</v>
      </c>
      <c r="DY54">
        <f t="shared" si="117"/>
        <v>1.6164974754153068</v>
      </c>
      <c r="DZ54" s="8">
        <f t="shared" si="118"/>
        <v>1.6245473704220699</v>
      </c>
      <c r="EA54">
        <f t="shared" si="119"/>
        <v>1.6324672114611762</v>
      </c>
      <c r="EB54" s="8">
        <f t="shared" si="120"/>
        <v>1.6402558494625534</v>
      </c>
      <c r="EC54">
        <f t="shared" si="121"/>
        <v>1.3660104930510737</v>
      </c>
      <c r="ED54" s="8">
        <f t="shared" si="122"/>
        <v>1.6402558494625534</v>
      </c>
      <c r="EF54" s="23">
        <f t="shared" si="123"/>
        <v>0.33704755178999735</v>
      </c>
      <c r="EG54" s="8">
        <f t="shared" si="84"/>
        <v>2.4588188874919328</v>
      </c>
      <c r="EH54">
        <f t="shared" si="124"/>
        <v>0.99150000000000005</v>
      </c>
      <c r="EI54" s="8">
        <f t="shared" si="125"/>
        <v>3.7873664392819304</v>
      </c>
    </row>
    <row r="55" spans="7:139" x14ac:dyDescent="0.3">
      <c r="G55" s="10"/>
      <c r="H55" s="10"/>
      <c r="I55" s="6">
        <v>37</v>
      </c>
      <c r="J55" s="6">
        <f t="shared" si="85"/>
        <v>0.28899999999999998</v>
      </c>
      <c r="K55" s="6">
        <f t="shared" si="128"/>
        <v>-0.37955900000000004</v>
      </c>
      <c r="L55" s="23">
        <f t="shared" si="130"/>
        <v>-7.5828838562952088</v>
      </c>
      <c r="M55">
        <f t="shared" si="87"/>
        <v>5.3128771563833581</v>
      </c>
      <c r="N55" s="24">
        <f t="shared" si="88"/>
        <v>2.2449347999999998</v>
      </c>
      <c r="O55" s="23">
        <f t="shared" si="89"/>
        <v>-7.6009239439101277</v>
      </c>
      <c r="P55">
        <f t="shared" si="90"/>
        <v>5.3354551376670347</v>
      </c>
      <c r="Q55" s="24">
        <f t="shared" si="91"/>
        <v>2.2069788999999997</v>
      </c>
      <c r="R55" s="23">
        <f t="shared" si="0"/>
        <v>-7.6180942765063069</v>
      </c>
      <c r="S55">
        <f t="shared" si="1"/>
        <v>5.3587014207793215</v>
      </c>
      <c r="T55" s="24">
        <f t="shared" si="2"/>
        <v>2.1690229999999997</v>
      </c>
      <c r="U55" s="23">
        <f t="shared" si="3"/>
        <v>-7.634370120607743</v>
      </c>
      <c r="V55">
        <f t="shared" si="4"/>
        <v>5.3825825199748305</v>
      </c>
      <c r="W55" s="24">
        <f t="shared" si="5"/>
        <v>2.1310670999999997</v>
      </c>
      <c r="X55" s="23">
        <f t="shared" si="6"/>
        <v>-7.6497280312288902</v>
      </c>
      <c r="Y55">
        <f t="shared" si="7"/>
        <v>5.4070640350699559</v>
      </c>
      <c r="Z55" s="24">
        <f t="shared" si="8"/>
        <v>2.0931111999999996</v>
      </c>
      <c r="AA55" s="23">
        <f t="shared" si="9"/>
        <v>-7.6641458856466338</v>
      </c>
      <c r="AB55">
        <f t="shared" si="10"/>
        <v>5.4321107009955583</v>
      </c>
      <c r="AC55" s="24">
        <f t="shared" si="11"/>
        <v>2.0551552999999996</v>
      </c>
      <c r="AD55" s="23">
        <f t="shared" si="12"/>
        <v>-7.6776029152675722</v>
      </c>
      <c r="AE55">
        <f t="shared" si="13"/>
        <v>5.457686438595502</v>
      </c>
      <c r="AF55" s="24">
        <f t="shared" si="14"/>
        <v>2.0171993999999995</v>
      </c>
      <c r="AG55" s="23">
        <f t="shared" si="15"/>
        <v>-7.6900797355447059</v>
      </c>
      <c r="AH55">
        <f t="shared" si="16"/>
        <v>5.4837544065978632</v>
      </c>
      <c r="AI55" s="24">
        <f t="shared" si="17"/>
        <v>1.9792434999999995</v>
      </c>
      <c r="AJ55" s="23">
        <f t="shared" si="18"/>
        <v>-7.701558373900439</v>
      </c>
      <c r="AK55">
        <f t="shared" si="19"/>
        <v>5.5102770546839484</v>
      </c>
      <c r="AL55" s="24">
        <f t="shared" si="20"/>
        <v>1.9412875999999994</v>
      </c>
      <c r="AM55" s="23">
        <f t="shared" si="21"/>
        <v>-7.7120222956156717</v>
      </c>
      <c r="AN55">
        <f t="shared" si="22"/>
        <v>5.5372161775786806</v>
      </c>
      <c r="AO55" s="24">
        <f t="shared" si="23"/>
        <v>1.9033316999999994</v>
      </c>
      <c r="AP55" s="23">
        <f t="shared" si="24"/>
        <v>-7.7214564276476896</v>
      </c>
      <c r="AQ55">
        <f t="shared" si="25"/>
        <v>5.5645329700844357</v>
      </c>
      <c r="AR55" s="24">
        <f t="shared" si="26"/>
        <v>1.8653757999999994</v>
      </c>
      <c r="AS55" s="23">
        <f t="shared" si="27"/>
        <v>-7.7298471803425395</v>
      </c>
      <c r="AT55">
        <f t="shared" si="28"/>
        <v>5.5921880829790505</v>
      </c>
      <c r="AU55" s="24">
        <f t="shared" si="29"/>
        <v>1.8274198999999993</v>
      </c>
      <c r="AV55" s="23">
        <f t="shared" si="30"/>
        <v>-7.7371824670106211</v>
      </c>
      <c r="AW55">
        <f t="shared" si="31"/>
        <v>5.6201416796974888</v>
      </c>
      <c r="AX55" s="24">
        <f t="shared" si="32"/>
        <v>1.7894639999999993</v>
      </c>
      <c r="AY55" s="23">
        <f t="shared" si="33"/>
        <v>-7.7434517213372889</v>
      </c>
      <c r="AZ55">
        <f t="shared" si="34"/>
        <v>5.6483534937155122</v>
      </c>
      <c r="BA55" s="24">
        <f t="shared" si="35"/>
        <v>1.7515080999999992</v>
      </c>
      <c r="BB55" s="23">
        <f t="shared" si="36"/>
        <v>-7.7486459126033891</v>
      </c>
      <c r="BC55">
        <f t="shared" si="37"/>
        <v>5.6767828865527008</v>
      </c>
      <c r="BD55" s="24">
        <f t="shared" si="38"/>
        <v>1.7135521999999992</v>
      </c>
      <c r="BE55" s="23">
        <f t="shared" si="39"/>
        <v>-7.7527575586938067</v>
      </c>
      <c r="BF55">
        <f t="shared" si="40"/>
        <v>5.7053889063112617</v>
      </c>
      <c r="BG55" s="24">
        <f t="shared" si="41"/>
        <v>1.6755962999999992</v>
      </c>
      <c r="BH55" s="23">
        <f t="shared" si="42"/>
        <v>-7.7557807368752849</v>
      </c>
      <c r="BI55">
        <f t="shared" si="43"/>
        <v>5.7341303466663138</v>
      </c>
      <c r="BJ55" s="24">
        <f t="shared" si="44"/>
        <v>1.6376403999999991</v>
      </c>
      <c r="BK55" s="23">
        <f t="shared" si="45"/>
        <v>-7.7577110923279857</v>
      </c>
      <c r="BL55">
        <f t="shared" si="46"/>
        <v>5.7629658062226694</v>
      </c>
      <c r="BM55" s="24">
        <f t="shared" si="47"/>
        <v>1.5996844999999991</v>
      </c>
      <c r="BN55" s="23">
        <f t="shared" si="48"/>
        <v>-7.7585458444185109</v>
      </c>
      <c r="BO55">
        <f t="shared" si="49"/>
        <v>5.7918537481526053</v>
      </c>
      <c r="BP55" s="24">
        <f t="shared" si="50"/>
        <v>1.561728599999999</v>
      </c>
      <c r="BQ55" s="23">
        <f t="shared" si="51"/>
        <v>-7.7582837907053426</v>
      </c>
      <c r="BR55">
        <f t="shared" si="52"/>
        <v>5.8207525600287262</v>
      </c>
      <c r="BS55" s="24">
        <f t="shared" si="53"/>
        <v>1.523772699999999</v>
      </c>
      <c r="BT55" s="23">
        <f t="shared" si="54"/>
        <v>-7.7569253086709313</v>
      </c>
      <c r="BU55">
        <f t="shared" si="55"/>
        <v>5.8496206137657234</v>
      </c>
      <c r="BV55" s="24">
        <f t="shared" si="56"/>
        <v>1.4858167999999989</v>
      </c>
      <c r="BW55" s="23">
        <f t="shared" si="57"/>
        <v>-7.7544723551779411</v>
      </c>
      <c r="BX55">
        <f t="shared" si="58"/>
        <v>5.8784163255846948</v>
      </c>
      <c r="BY55" s="24">
        <f t="shared" si="59"/>
        <v>1.4478608999999989</v>
      </c>
      <c r="BZ55" s="23">
        <f t="shared" si="60"/>
        <v>-7.7509284636504354</v>
      </c>
      <c r="CA55">
        <f t="shared" si="61"/>
        <v>5.907098215913634</v>
      </c>
      <c r="CB55" s="24">
        <f t="shared" si="62"/>
        <v>1.4099049999999989</v>
      </c>
      <c r="CC55" s="23">
        <f t="shared" si="63"/>
        <v>-7.7462987389840565</v>
      </c>
      <c r="CD55">
        <f t="shared" si="64"/>
        <v>5.9356249691378187</v>
      </c>
      <c r="CE55" s="24">
        <f t="shared" si="65"/>
        <v>1.3719490999999988</v>
      </c>
      <c r="CF55" s="23">
        <f t="shared" si="66"/>
        <v>-7.7405898501925412</v>
      </c>
      <c r="CG55">
        <f t="shared" si="67"/>
        <v>5.9639554931140202</v>
      </c>
      <c r="CH55" s="24">
        <f t="shared" si="68"/>
        <v>1.3339931999999988</v>
      </c>
      <c r="CI55" s="23">
        <f t="shared" si="69"/>
        <v>-7.7338100208011555</v>
      </c>
      <c r="CJ55">
        <f t="shared" si="70"/>
        <v>5.9920489783628055</v>
      </c>
      <c r="CK55" s="24">
        <f t="shared" si="71"/>
        <v>1.2960372999999987</v>
      </c>
      <c r="CL55" s="23">
        <f t="shared" si="72"/>
        <v>-7.7259690170008932</v>
      </c>
      <c r="CM55">
        <f t="shared" si="73"/>
        <v>6.0198649568536702</v>
      </c>
      <c r="CN55" s="24">
        <f t="shared" si="74"/>
        <v>1.2580813999999987</v>
      </c>
      <c r="CO55" s="23">
        <f t="shared" si="75"/>
        <v>-7.7170781335804977</v>
      </c>
      <c r="CP55">
        <f t="shared" si="76"/>
        <v>6.0473633602983234</v>
      </c>
      <c r="CQ55" s="24">
        <f t="shared" si="77"/>
        <v>1.2201254999999986</v>
      </c>
      <c r="CR55" s="23">
        <f t="shared" si="78"/>
        <v>-7.7071501776565761</v>
      </c>
      <c r="CS55">
        <f t="shared" si="79"/>
        <v>6.0745045778681499</v>
      </c>
      <c r="CT55" s="24">
        <f t="shared" si="80"/>
        <v>1.1821695999999986</v>
      </c>
      <c r="CU55" s="23">
        <f t="shared" si="81"/>
        <v>-7.6961994502252349</v>
      </c>
      <c r="CV55">
        <f t="shared" si="82"/>
        <v>6.1012495132527134</v>
      </c>
      <c r="CW55" s="24">
        <f t="shared" si="83"/>
        <v>1.1442136999999986</v>
      </c>
      <c r="CY55" s="8">
        <f t="shared" si="129"/>
        <v>1.3683567629337632</v>
      </c>
      <c r="CZ55" s="8">
        <f t="shared" si="92"/>
        <v>1.3831424738948237</v>
      </c>
      <c r="DA55" s="8">
        <f t="shared" si="93"/>
        <v>1.3992851739076657</v>
      </c>
      <c r="DB55" s="8">
        <f t="shared" si="94"/>
        <v>1.4167156435972048</v>
      </c>
      <c r="DC55" s="8">
        <f t="shared" si="95"/>
        <v>1.4353623406905371</v>
      </c>
      <c r="DD55" s="8">
        <f t="shared" si="96"/>
        <v>1.4551521891081862</v>
      </c>
      <c r="DE55" s="8">
        <f t="shared" si="97"/>
        <v>1.4760112969045454</v>
      </c>
      <c r="DF55" s="8">
        <f t="shared" si="98"/>
        <v>1.4978655952918367</v>
      </c>
      <c r="DG55" s="8">
        <f t="shared" si="99"/>
        <v>1.5206413952266584</v>
      </c>
      <c r="DH55" s="8">
        <f t="shared" si="100"/>
        <v>1.5442658615959706</v>
      </c>
      <c r="DI55" s="8">
        <f t="shared" si="101"/>
        <v>1.5686674078478413</v>
      </c>
      <c r="DJ55" s="8">
        <f t="shared" si="102"/>
        <v>1.5937760159818444</v>
      </c>
      <c r="DK55" s="8">
        <f t="shared" si="103"/>
        <v>1.6195234882063558</v>
      </c>
      <c r="DL55" s="8">
        <f t="shared" si="104"/>
        <v>1.6458436373778298</v>
      </c>
      <c r="DM55" s="8">
        <f t="shared" si="105"/>
        <v>1.6726724236670905</v>
      </c>
      <c r="DN55" s="8">
        <f t="shared" si="106"/>
        <v>1.6999480448574125</v>
      </c>
      <c r="DO55">
        <f t="shared" si="107"/>
        <v>1.7276109873688008</v>
      </c>
      <c r="DP55" s="8">
        <f t="shared" si="108"/>
        <v>1.7556040446095176</v>
      </c>
      <c r="DQ55">
        <f t="shared" si="109"/>
        <v>1.7838723086518373</v>
      </c>
      <c r="DR55" s="8">
        <f t="shared" si="110"/>
        <v>1.812363140571192</v>
      </c>
      <c r="DS55">
        <f t="shared" si="111"/>
        <v>1.8410261241190549</v>
      </c>
      <c r="DT55" s="8">
        <f t="shared" si="112"/>
        <v>1.8698130067507048</v>
      </c>
      <c r="DU55">
        <f t="shared" si="113"/>
        <v>1.8986776314196536</v>
      </c>
      <c r="DV55" s="8">
        <f t="shared" si="114"/>
        <v>1.9275758619933678</v>
      </c>
      <c r="DW55">
        <f t="shared" si="115"/>
        <v>1.956465504645966</v>
      </c>
      <c r="DX55" s="8">
        <f t="shared" si="116"/>
        <v>1.9853062271445685</v>
      </c>
      <c r="DY55">
        <f t="shared" si="117"/>
        <v>2.0140594775654432</v>
      </c>
      <c r="DZ55" s="8">
        <f t="shared" si="118"/>
        <v>2.0426884036505344</v>
      </c>
      <c r="EA55">
        <f t="shared" si="119"/>
        <v>2.0711577737397886</v>
      </c>
      <c r="EB55" s="8">
        <f t="shared" si="120"/>
        <v>2.099433899984676</v>
      </c>
      <c r="EC55">
        <f t="shared" si="121"/>
        <v>1.3683567629337632</v>
      </c>
      <c r="ED55" s="8">
        <f t="shared" si="122"/>
        <v>2.099433899984676</v>
      </c>
      <c r="EF55" s="23">
        <f t="shared" si="123"/>
        <v>1.4087004581054545</v>
      </c>
      <c r="EG55" s="8">
        <f t="shared" si="84"/>
        <v>2.4630421732807739</v>
      </c>
      <c r="EH55">
        <f t="shared" si="124"/>
        <v>0.91649999999999998</v>
      </c>
      <c r="EI55" s="8">
        <f t="shared" si="125"/>
        <v>4.7882426313862281</v>
      </c>
    </row>
    <row r="56" spans="7:139" x14ac:dyDescent="0.3">
      <c r="G56" s="10"/>
      <c r="H56" s="10"/>
      <c r="I56" s="6">
        <v>38</v>
      </c>
      <c r="J56" s="6">
        <f t="shared" si="85"/>
        <v>0.28899999999999998</v>
      </c>
      <c r="K56" s="6">
        <f t="shared" si="128"/>
        <v>-0.32719910000000002</v>
      </c>
      <c r="L56" s="23">
        <f t="shared" si="130"/>
        <v>-7.5828838562952088</v>
      </c>
      <c r="M56">
        <f t="shared" si="87"/>
        <v>5.3128771563833581</v>
      </c>
      <c r="N56" s="24">
        <f t="shared" si="88"/>
        <v>2.2501707899999999</v>
      </c>
      <c r="O56" s="23">
        <f t="shared" si="89"/>
        <v>-7.6010419141649104</v>
      </c>
      <c r="P56">
        <f t="shared" si="90"/>
        <v>5.3353603708866393</v>
      </c>
      <c r="Q56" s="24">
        <f t="shared" si="91"/>
        <v>2.2174508799999999</v>
      </c>
      <c r="R56" s="23">
        <f t="shared" si="0"/>
        <v>-7.6184547354626329</v>
      </c>
      <c r="S56">
        <f t="shared" si="1"/>
        <v>5.3584255752961729</v>
      </c>
      <c r="T56" s="24">
        <f t="shared" si="2"/>
        <v>2.1847309699999999</v>
      </c>
      <c r="U56" s="23">
        <f t="shared" si="3"/>
        <v>-7.6351036798154199</v>
      </c>
      <c r="V56">
        <f t="shared" si="4"/>
        <v>5.3820480783798388</v>
      </c>
      <c r="W56" s="24">
        <f t="shared" si="5"/>
        <v>2.15201106</v>
      </c>
      <c r="X56" s="23">
        <f t="shared" si="6"/>
        <v>-7.6509709245782913</v>
      </c>
      <c r="Y56">
        <f t="shared" si="7"/>
        <v>5.4062025923189587</v>
      </c>
      <c r="Z56" s="24">
        <f t="shared" si="8"/>
        <v>2.11929115</v>
      </c>
      <c r="AA56" s="23">
        <f t="shared" si="9"/>
        <v>-7.6660394839133339</v>
      </c>
      <c r="AB56">
        <f t="shared" si="10"/>
        <v>5.4308632597788291</v>
      </c>
      <c r="AC56" s="24">
        <f t="shared" si="11"/>
        <v>2.08657124</v>
      </c>
      <c r="AD56" s="23">
        <f t="shared" si="12"/>
        <v>-7.6802932269729887</v>
      </c>
      <c r="AE56">
        <f t="shared" si="13"/>
        <v>5.4560036815889212</v>
      </c>
      <c r="AF56" s="24">
        <f t="shared" si="14"/>
        <v>2.0538513300000001</v>
      </c>
      <c r="AG56" s="23">
        <f t="shared" si="15"/>
        <v>-7.6937168951680741</v>
      </c>
      <c r="AH56">
        <f t="shared" si="16"/>
        <v>5.4815969450031137</v>
      </c>
      <c r="AI56" s="24">
        <f t="shared" si="17"/>
        <v>2.0211314200000001</v>
      </c>
      <c r="AJ56" s="23">
        <f t="shared" si="18"/>
        <v>-7.7062961185020606</v>
      </c>
      <c r="AK56">
        <f t="shared" si="19"/>
        <v>5.5076156525097071</v>
      </c>
      <c r="AL56" s="24">
        <f t="shared" si="20"/>
        <v>1.9884115100000002</v>
      </c>
      <c r="AM56" s="23">
        <f t="shared" si="21"/>
        <v>-7.7180174309541103</v>
      </c>
      <c r="AN56">
        <f t="shared" si="22"/>
        <v>5.5340319511603777</v>
      </c>
      <c r="AO56" s="24">
        <f t="shared" si="23"/>
        <v>1.9556916000000002</v>
      </c>
      <c r="AP56" s="23">
        <f t="shared" si="24"/>
        <v>-7.7288682848944097</v>
      </c>
      <c r="AQ56">
        <f t="shared" si="25"/>
        <v>5.5608175623866742</v>
      </c>
      <c r="AR56" s="24">
        <f t="shared" si="26"/>
        <v>1.9229716900000002</v>
      </c>
      <c r="AS56" s="23">
        <f t="shared" si="27"/>
        <v>-7.7388370645163702</v>
      </c>
      <c r="AT56">
        <f t="shared" si="28"/>
        <v>5.5879438122721412</v>
      </c>
      <c r="AU56" s="24">
        <f t="shared" si="29"/>
        <v>1.8902517800000003</v>
      </c>
      <c r="AV56" s="23">
        <f t="shared" si="30"/>
        <v>-7.7479130982713151</v>
      </c>
      <c r="AW56">
        <f t="shared" si="31"/>
        <v>5.6153816622476604</v>
      </c>
      <c r="AX56" s="24">
        <f t="shared" si="32"/>
        <v>1.8575318700000003</v>
      </c>
      <c r="AY56" s="23">
        <f t="shared" si="33"/>
        <v>-7.7560866702923397</v>
      </c>
      <c r="AZ56">
        <f t="shared" si="34"/>
        <v>5.643101740177153</v>
      </c>
      <c r="BA56" s="24">
        <f t="shared" si="35"/>
        <v>1.8248119600000003</v>
      </c>
      <c r="BB56" s="23">
        <f t="shared" si="36"/>
        <v>-7.7633490307951174</v>
      </c>
      <c r="BC56">
        <f t="shared" si="37"/>
        <v>5.6710743718003611</v>
      </c>
      <c r="BD56" s="24">
        <f t="shared" si="38"/>
        <v>1.7920920500000004</v>
      </c>
      <c r="BE56" s="23">
        <f t="shared" si="39"/>
        <v>-7.7696924054445198</v>
      </c>
      <c r="BF56">
        <f t="shared" si="40"/>
        <v>5.6992696124990561</v>
      </c>
      <c r="BG56" s="24">
        <f t="shared" si="41"/>
        <v>1.7593721400000004</v>
      </c>
      <c r="BH56" s="23">
        <f t="shared" si="42"/>
        <v>-7.7751100036770149</v>
      </c>
      <c r="BI56">
        <f t="shared" si="43"/>
        <v>5.7276572793526608</v>
      </c>
      <c r="BJ56" s="24">
        <f t="shared" si="44"/>
        <v>1.7266522300000005</v>
      </c>
      <c r="BK56" s="23">
        <f t="shared" si="45"/>
        <v>-7.7795960259699495</v>
      </c>
      <c r="BL56">
        <f t="shared" si="46"/>
        <v>5.756206983448978</v>
      </c>
      <c r="BM56" s="24">
        <f t="shared" si="47"/>
        <v>1.6939323200000005</v>
      </c>
      <c r="BN56" s="23">
        <f t="shared" si="48"/>
        <v>-7.783145670049918</v>
      </c>
      <c r="BO56">
        <f t="shared" si="49"/>
        <v>5.7848881624154282</v>
      </c>
      <c r="BP56" s="24">
        <f t="shared" si="50"/>
        <v>1.6612124100000005</v>
      </c>
      <c r="BQ56" s="23">
        <f t="shared" si="51"/>
        <v>-7.7857551360335817</v>
      </c>
      <c r="BR56">
        <f t="shared" si="52"/>
        <v>5.8136701131359771</v>
      </c>
      <c r="BS56" s="24">
        <f t="shared" si="53"/>
        <v>1.6284925000000006</v>
      </c>
      <c r="BT56" s="23">
        <f t="shared" si="54"/>
        <v>-7.7874216304954347</v>
      </c>
      <c r="BU56">
        <f t="shared" si="55"/>
        <v>5.8425220246187299</v>
      </c>
      <c r="BV56" s="24">
        <f t="shared" si="56"/>
        <v>1.5957725900000006</v>
      </c>
      <c r="BW56" s="23">
        <f t="shared" si="57"/>
        <v>-7.7881433694581554</v>
      </c>
      <c r="BX56">
        <f t="shared" si="58"/>
        <v>5.8714130109790066</v>
      </c>
      <c r="BY56" s="24">
        <f t="shared" si="59"/>
        <v>1.5630526800000006</v>
      </c>
      <c r="BZ56" s="23">
        <f t="shared" si="60"/>
        <v>-7.7879195803023498</v>
      </c>
      <c r="CA56">
        <f t="shared" si="61"/>
        <v>5.9003121445025872</v>
      </c>
      <c r="CB56" s="24">
        <f t="shared" si="62"/>
        <v>1.5303327700000007</v>
      </c>
      <c r="CC56" s="23">
        <f t="shared" si="63"/>
        <v>-7.7867505025936374</v>
      </c>
      <c r="CD56">
        <f t="shared" si="64"/>
        <v>5.9291884887537387</v>
      </c>
      <c r="CE56" s="24">
        <f t="shared" si="65"/>
        <v>1.4976128600000007</v>
      </c>
      <c r="CF56" s="23">
        <f t="shared" si="66"/>
        <v>-7.7846373878261979</v>
      </c>
      <c r="CG56">
        <f t="shared" si="67"/>
        <v>5.958011131692575</v>
      </c>
      <c r="CH56" s="24">
        <f t="shared" si="68"/>
        <v>1.4648929500000007</v>
      </c>
      <c r="CI56" s="23">
        <f t="shared" si="69"/>
        <v>-7.7815824980830506</v>
      </c>
      <c r="CJ56">
        <f t="shared" si="70"/>
        <v>5.9867492187663034</v>
      </c>
      <c r="CK56" s="24">
        <f t="shared" si="71"/>
        <v>1.4321730400000008</v>
      </c>
      <c r="CL56" s="23">
        <f t="shared" si="72"/>
        <v>-7.7775891036145</v>
      </c>
      <c r="CM56">
        <f t="shared" si="73"/>
        <v>6.0153719859389323</v>
      </c>
      <c r="CN56" s="24">
        <f t="shared" si="74"/>
        <v>1.3994531300000008</v>
      </c>
      <c r="CO56" s="23">
        <f t="shared" si="75"/>
        <v>-7.7726614793373425</v>
      </c>
      <c r="CP56">
        <f t="shared" si="76"/>
        <v>6.043848792624078</v>
      </c>
      <c r="CQ56" s="24">
        <f t="shared" si="77"/>
        <v>1.3667332200000009</v>
      </c>
      <c r="CR56" s="23">
        <f t="shared" si="78"/>
        <v>-7.7668049002585846</v>
      </c>
      <c r="CS56">
        <f t="shared" si="79"/>
        <v>6.0721491544856203</v>
      </c>
      <c r="CT56" s="24">
        <f t="shared" si="80"/>
        <v>1.3340133100000009</v>
      </c>
      <c r="CU56" s="23">
        <f t="shared" si="81"/>
        <v>-7.7600256358285584</v>
      </c>
      <c r="CV56">
        <f t="shared" si="82"/>
        <v>6.1002427760710933</v>
      </c>
      <c r="CW56" s="24">
        <f t="shared" si="83"/>
        <v>1.3012934000000009</v>
      </c>
      <c r="CY56" s="8">
        <f t="shared" si="129"/>
        <v>1.3683567629337632</v>
      </c>
      <c r="CZ56" s="8">
        <f t="shared" si="92"/>
        <v>1.3830129566681029</v>
      </c>
      <c r="DA56" s="8">
        <f t="shared" si="93"/>
        <v>1.3989065869329316</v>
      </c>
      <c r="DB56" s="8">
        <f t="shared" si="94"/>
        <v>1.4159792727341054</v>
      </c>
      <c r="DC56" s="8">
        <f t="shared" si="95"/>
        <v>1.4341709724693963</v>
      </c>
      <c r="DD56" s="8">
        <f t="shared" si="96"/>
        <v>1.4534205747360602</v>
      </c>
      <c r="DE56" s="8">
        <f t="shared" si="97"/>
        <v>1.4736664356718343</v>
      </c>
      <c r="DF56" s="8">
        <f t="shared" si="98"/>
        <v>1.494846857977592</v>
      </c>
      <c r="DG56" s="8">
        <f t="shared" si="99"/>
        <v>1.5169005095213277</v>
      </c>
      <c r="DH56" s="8">
        <f t="shared" si="100"/>
        <v>1.5397667817328295</v>
      </c>
      <c r="DI56" s="8">
        <f t="shared" si="101"/>
        <v>1.5633860898338363</v>
      </c>
      <c r="DJ56" s="8">
        <f t="shared" si="102"/>
        <v>1.5877001183178612</v>
      </c>
      <c r="DK56" s="8">
        <f t="shared" si="103"/>
        <v>1.6126520160344522</v>
      </c>
      <c r="DL56" s="8">
        <f t="shared" si="104"/>
        <v>1.638186545799694</v>
      </c>
      <c r="DM56" s="8">
        <f t="shared" si="105"/>
        <v>1.6642501937119685</v>
      </c>
      <c r="DN56" s="8">
        <f t="shared" si="106"/>
        <v>1.6907912433645382</v>
      </c>
      <c r="DO56">
        <f t="shared" si="107"/>
        <v>1.7177598199756841</v>
      </c>
      <c r="DP56" s="8">
        <f t="shared" si="108"/>
        <v>1.7451079091574515</v>
      </c>
      <c r="DQ56">
        <f t="shared" si="109"/>
        <v>1.7727893546615607</v>
      </c>
      <c r="DR56" s="8">
        <f t="shared" si="110"/>
        <v>1.8007598390129931</v>
      </c>
      <c r="DS56">
        <f t="shared" si="111"/>
        <v>1.8289768504970585</v>
      </c>
      <c r="DT56" s="8">
        <f t="shared" si="112"/>
        <v>1.8573996395257031</v>
      </c>
      <c r="DU56">
        <f t="shared" si="113"/>
        <v>1.8859891669884465</v>
      </c>
      <c r="DV56" s="8">
        <f t="shared" si="114"/>
        <v>1.9147080468023772</v>
      </c>
      <c r="DW56">
        <f t="shared" si="115"/>
        <v>1.9435204845196921</v>
      </c>
      <c r="DX56" s="8">
        <f t="shared" si="116"/>
        <v>1.9723922135329357</v>
      </c>
      <c r="DY56">
        <f t="shared" si="117"/>
        <v>2.0012904301375904</v>
      </c>
      <c r="DZ56" s="8">
        <f t="shared" si="118"/>
        <v>2.03018372846774</v>
      </c>
      <c r="EA56">
        <f t="shared" si="119"/>
        <v>2.0590420361108674</v>
      </c>
      <c r="EB56" s="8">
        <f t="shared" si="120"/>
        <v>2.08783655102954</v>
      </c>
      <c r="EC56">
        <f t="shared" si="121"/>
        <v>1.3683567629337632</v>
      </c>
      <c r="ED56" s="8">
        <f t="shared" si="122"/>
        <v>2.08783655102954</v>
      </c>
      <c r="EF56" s="23">
        <f t="shared" si="123"/>
        <v>1.2505622746553202</v>
      </c>
      <c r="EG56" s="8">
        <f t="shared" si="84"/>
        <v>2.4630421732807739</v>
      </c>
      <c r="EH56">
        <f t="shared" si="124"/>
        <v>0.91649999999999998</v>
      </c>
      <c r="EI56" s="8">
        <f t="shared" si="125"/>
        <v>4.6301044479360938</v>
      </c>
    </row>
    <row r="57" spans="7:139" x14ac:dyDescent="0.3">
      <c r="G57" s="10"/>
      <c r="H57" s="10"/>
      <c r="I57" s="6">
        <v>39</v>
      </c>
      <c r="J57" s="6">
        <f t="shared" si="85"/>
        <v>0.28899999999999998</v>
      </c>
      <c r="K57" s="6">
        <f t="shared" si="128"/>
        <v>-0.27483920000000001</v>
      </c>
      <c r="L57" s="23">
        <f t="shared" si="130"/>
        <v>-7.5828838562952088</v>
      </c>
      <c r="M57">
        <f t="shared" si="87"/>
        <v>5.3128771563833581</v>
      </c>
      <c r="N57" s="24">
        <f t="shared" si="88"/>
        <v>2.2554067799999999</v>
      </c>
      <c r="O57" s="23">
        <f t="shared" si="89"/>
        <v>-7.6011593866069376</v>
      </c>
      <c r="P57">
        <f t="shared" si="90"/>
        <v>5.3352649877170331</v>
      </c>
      <c r="Q57" s="24">
        <f t="shared" si="91"/>
        <v>2.2279228600000001</v>
      </c>
      <c r="R57" s="23">
        <f t="shared" si="0"/>
        <v>-7.6188127870924873</v>
      </c>
      <c r="S57">
        <f t="shared" si="1"/>
        <v>5.3581465840620606</v>
      </c>
      <c r="T57" s="24">
        <f t="shared" si="2"/>
        <v>2.2004389400000002</v>
      </c>
      <c r="U57" s="23">
        <f t="shared" si="3"/>
        <v>-7.635830723815209</v>
      </c>
      <c r="V57">
        <f t="shared" si="4"/>
        <v>5.3815046625297223</v>
      </c>
      <c r="W57" s="24">
        <f t="shared" si="5"/>
        <v>2.1729550200000003</v>
      </c>
      <c r="X57" s="23">
        <f t="shared" si="6"/>
        <v>-7.6522003428158696</v>
      </c>
      <c r="Y57">
        <f t="shared" si="7"/>
        <v>5.4053215803356274</v>
      </c>
      <c r="Z57" s="24">
        <f t="shared" si="8"/>
        <v>2.1454711000000004</v>
      </c>
      <c r="AA57" s="23">
        <f t="shared" si="9"/>
        <v>-7.6679092798214832</v>
      </c>
      <c r="AB57">
        <f t="shared" si="10"/>
        <v>5.42957934812563</v>
      </c>
      <c r="AC57" s="24">
        <f t="shared" si="11"/>
        <v>2.1179871800000005</v>
      </c>
      <c r="AD57" s="23">
        <f t="shared" si="12"/>
        <v>-7.6829456695842726</v>
      </c>
      <c r="AE57">
        <f t="shared" si="13"/>
        <v>5.4542596435635184</v>
      </c>
      <c r="AF57" s="24">
        <f t="shared" si="14"/>
        <v>2.0905032600000006</v>
      </c>
      <c r="AG57" s="23">
        <f t="shared" si="15"/>
        <v>-7.6972981548437103</v>
      </c>
      <c r="AH57">
        <f t="shared" si="16"/>
        <v>5.4793438251702131</v>
      </c>
      <c r="AI57" s="24">
        <f t="shared" si="17"/>
        <v>2.0630193400000008</v>
      </c>
      <c r="AJ57" s="23">
        <f t="shared" si="18"/>
        <v>-7.7109558949048616</v>
      </c>
      <c r="AK57">
        <f t="shared" si="19"/>
        <v>5.5048129464040132</v>
      </c>
      <c r="AL57" s="24">
        <f t="shared" si="20"/>
        <v>2.0355354200000009</v>
      </c>
      <c r="AM57" s="23">
        <f t="shared" si="21"/>
        <v>-7.7239085738265629</v>
      </c>
      <c r="AN57">
        <f t="shared" si="22"/>
        <v>5.5306477699712708</v>
      </c>
      <c r="AO57" s="24">
        <f t="shared" si="23"/>
        <v>2.008051500000001</v>
      </c>
      <c r="AP57" s="23">
        <f t="shared" si="24"/>
        <v>-7.7361464082132398</v>
      </c>
      <c r="AQ57">
        <f t="shared" si="25"/>
        <v>5.5568287823566669</v>
      </c>
      <c r="AR57" s="24">
        <f t="shared" si="26"/>
        <v>1.9805675800000009</v>
      </c>
      <c r="AS57" s="23">
        <f t="shared" si="27"/>
        <v>-7.7476601546044863</v>
      </c>
      <c r="AT57">
        <f t="shared" si="28"/>
        <v>5.5833362085621294</v>
      </c>
      <c r="AU57" s="24">
        <f t="shared" si="29"/>
        <v>1.9530836600000008</v>
      </c>
      <c r="AV57" s="23">
        <f t="shared" si="30"/>
        <v>-7.758441116456817</v>
      </c>
      <c r="AW57">
        <f t="shared" si="31"/>
        <v>5.6101500270432521</v>
      </c>
      <c r="AX57" s="24">
        <f t="shared" si="32"/>
        <v>1.9255997400000007</v>
      </c>
      <c r="AY57" s="23">
        <f t="shared" si="33"/>
        <v>-7.7684811507123275</v>
      </c>
      <c r="AZ57">
        <f t="shared" si="34"/>
        <v>5.6372499848319313</v>
      </c>
      <c r="BA57" s="24">
        <f t="shared" si="35"/>
        <v>1.8981158200000006</v>
      </c>
      <c r="BB57" s="23">
        <f t="shared" si="36"/>
        <v>-7.7777726739492952</v>
      </c>
      <c r="BC57">
        <f t="shared" si="37"/>
        <v>5.6646156128338045</v>
      </c>
      <c r="BD57" s="24">
        <f t="shared" si="38"/>
        <v>1.8706319000000005</v>
      </c>
      <c r="BE57" s="23">
        <f t="shared" si="39"/>
        <v>-7.7863086681100766</v>
      </c>
      <c r="BF57">
        <f t="shared" si="40"/>
        <v>5.6922262412889326</v>
      </c>
      <c r="BG57" s="24">
        <f t="shared" si="41"/>
        <v>1.8431479800000004</v>
      </c>
      <c r="BH57" s="23">
        <f t="shared" si="42"/>
        <v>-7.7940826858019738</v>
      </c>
      <c r="BI57">
        <f t="shared" si="43"/>
        <v>5.7200610153840472</v>
      </c>
      <c r="BJ57" s="24">
        <f t="shared" si="44"/>
        <v>1.8156640600000002</v>
      </c>
      <c r="BK57" s="23">
        <f t="shared" si="45"/>
        <v>-7.8010888551670696</v>
      </c>
      <c r="BL57">
        <f t="shared" si="46"/>
        <v>5.7480989110045746</v>
      </c>
      <c r="BM57" s="24">
        <f t="shared" si="47"/>
        <v>1.7881801400000001</v>
      </c>
      <c r="BN57" s="23">
        <f t="shared" si="48"/>
        <v>-7.8073218843173482</v>
      </c>
      <c r="BO57">
        <f t="shared" si="49"/>
        <v>5.776318750614533</v>
      </c>
      <c r="BP57" s="24">
        <f t="shared" si="50"/>
        <v>1.76069622</v>
      </c>
      <c r="BQ57" s="23">
        <f t="shared" si="51"/>
        <v>-7.8127770653317548</v>
      </c>
      <c r="BR57">
        <f t="shared" si="52"/>
        <v>5.8046992192523135</v>
      </c>
      <c r="BS57" s="24">
        <f t="shared" si="53"/>
        <v>1.7332122999999999</v>
      </c>
      <c r="BT57" s="23">
        <f t="shared" si="54"/>
        <v>-7.8174502778121768</v>
      </c>
      <c r="BU57">
        <f t="shared" si="55"/>
        <v>5.8332188806302616</v>
      </c>
      <c r="BV57" s="24">
        <f t="shared" si="56"/>
        <v>1.7057283799999998</v>
      </c>
      <c r="BW57" s="23">
        <f t="shared" si="57"/>
        <v>-7.8213379919956525</v>
      </c>
      <c r="BX57">
        <f t="shared" si="58"/>
        <v>5.861856193325897</v>
      </c>
      <c r="BY57" s="24">
        <f t="shared" si="59"/>
        <v>1.6782444599999997</v>
      </c>
      <c r="BZ57" s="23">
        <f t="shared" si="60"/>
        <v>-7.8244372714204697</v>
      </c>
      <c r="CA57">
        <f t="shared" si="61"/>
        <v>5.890589527052545</v>
      </c>
      <c r="CB57" s="24">
        <f t="shared" si="62"/>
        <v>1.6507605399999996</v>
      </c>
      <c r="CC57" s="23">
        <f t="shared" si="63"/>
        <v>-7.8267457751441256</v>
      </c>
      <c r="CD57">
        <f t="shared" si="64"/>
        <v>5.9193971789970865</v>
      </c>
      <c r="CE57" s="24">
        <f t="shared" si="65"/>
        <v>1.6232766199999995</v>
      </c>
      <c r="CF57" s="23">
        <f t="shared" si="66"/>
        <v>-7.8282617595114852</v>
      </c>
      <c r="CG57">
        <f t="shared" si="67"/>
        <v>5.9482573902124942</v>
      </c>
      <c r="CH57" s="24">
        <f t="shared" si="68"/>
        <v>1.5957926999999994</v>
      </c>
      <c r="CI57" s="23">
        <f t="shared" si="69"/>
        <v>-7.8289840794717955</v>
      </c>
      <c r="CJ57">
        <f t="shared" si="70"/>
        <v>5.9771483620527581</v>
      </c>
      <c r="CK57" s="24">
        <f t="shared" si="71"/>
        <v>1.5683087799999993</v>
      </c>
      <c r="CL57" s="23">
        <f t="shared" si="72"/>
        <v>-7.8289121894435647</v>
      </c>
      <c r="CM57">
        <f t="shared" si="73"/>
        <v>6.0060482726378073</v>
      </c>
      <c r="CN57" s="24">
        <f t="shared" si="74"/>
        <v>1.5408248599999992</v>
      </c>
      <c r="CO57" s="23">
        <f t="shared" si="75"/>
        <v>-7.8280461437266462</v>
      </c>
      <c r="CP57">
        <f t="shared" si="76"/>
        <v>6.0349352933359723</v>
      </c>
      <c r="CQ57" s="24">
        <f t="shared" si="77"/>
        <v>1.5133409399999991</v>
      </c>
      <c r="CR57" s="23">
        <f t="shared" si="78"/>
        <v>-7.8263865964612291</v>
      </c>
      <c r="CS57">
        <f t="shared" si="79"/>
        <v>6.0637876052515507</v>
      </c>
      <c r="CT57" s="24">
        <f t="shared" si="80"/>
        <v>1.485857019999999</v>
      </c>
      <c r="CU57" s="23">
        <f t="shared" si="81"/>
        <v>-7.8239348011337526</v>
      </c>
      <c r="CV57">
        <f t="shared" si="82"/>
        <v>6.0925834157050209</v>
      </c>
      <c r="CW57" s="24">
        <f t="shared" si="83"/>
        <v>1.4583730999999989</v>
      </c>
      <c r="CY57" s="8">
        <f t="shared" si="129"/>
        <v>1.3683567629337632</v>
      </c>
      <c r="CZ57" s="8">
        <f t="shared" si="92"/>
        <v>1.382883035874362</v>
      </c>
      <c r="DA57" s="8">
        <f t="shared" si="93"/>
        <v>1.3985258587651082</v>
      </c>
      <c r="DB57" s="8">
        <f t="shared" si="94"/>
        <v>1.4152365977579211</v>
      </c>
      <c r="DC57" s="8">
        <f t="shared" si="95"/>
        <v>1.4329655005618636</v>
      </c>
      <c r="DD57" s="8">
        <f t="shared" si="96"/>
        <v>1.4516621273428441</v>
      </c>
      <c r="DE57" s="8">
        <f t="shared" si="97"/>
        <v>1.4712757422320404</v>
      </c>
      <c r="DF57" s="8">
        <f t="shared" si="98"/>
        <v>1.4917556626433155</v>
      </c>
      <c r="DG57" s="8">
        <f t="shared" si="99"/>
        <v>1.513051565311202</v>
      </c>
      <c r="DH57" s="8">
        <f t="shared" si="100"/>
        <v>1.535113749396569</v>
      </c>
      <c r="DI57" s="8">
        <f t="shared" si="101"/>
        <v>1.5578933581523462</v>
      </c>
      <c r="DJ57" s="8">
        <f t="shared" si="102"/>
        <v>1.5813425615037828</v>
      </c>
      <c r="DK57" s="8">
        <f t="shared" si="103"/>
        <v>1.6054147024990493</v>
      </c>
      <c r="DL57" s="8">
        <f t="shared" si="104"/>
        <v>1.6300644109587104</v>
      </c>
      <c r="DM57" s="8">
        <f t="shared" si="105"/>
        <v>1.6552476878335363</v>
      </c>
      <c r="DN57" s="8">
        <f t="shared" si="106"/>
        <v>1.6809219638071093</v>
      </c>
      <c r="DO57">
        <f t="shared" si="107"/>
        <v>1.7070461355886892</v>
      </c>
      <c r="DP57" s="8">
        <f t="shared" si="108"/>
        <v>1.733580583165319</v>
      </c>
      <c r="DQ57">
        <f t="shared" si="109"/>
        <v>1.7604871710480636</v>
      </c>
      <c r="DR57" s="8">
        <f t="shared" si="110"/>
        <v>1.7877292362787209</v>
      </c>
      <c r="DS57">
        <f t="shared" si="111"/>
        <v>1.8152715656786429</v>
      </c>
      <c r="DT57" s="8">
        <f t="shared" si="112"/>
        <v>1.8430803645345655</v>
      </c>
      <c r="DU57">
        <f t="shared" si="113"/>
        <v>1.8711232186377511</v>
      </c>
      <c r="DV57" s="8">
        <f t="shared" si="114"/>
        <v>1.8993690513294399</v>
      </c>
      <c r="DW57">
        <f t="shared" si="115"/>
        <v>1.9277880769620459</v>
      </c>
      <c r="DX57" s="8">
        <f t="shared" si="116"/>
        <v>1.9563517519642069</v>
      </c>
      <c r="DY57">
        <f t="shared" si="117"/>
        <v>1.9850327244997177</v>
      </c>
      <c r="DZ57" s="8">
        <f t="shared" si="118"/>
        <v>2.0138047835352899</v>
      </c>
      <c r="EA57">
        <f t="shared" si="119"/>
        <v>2.0426428079791847</v>
      </c>
      <c r="EB57" s="8">
        <f t="shared" si="120"/>
        <v>2.0715227164205423</v>
      </c>
      <c r="EC57">
        <f t="shared" si="121"/>
        <v>1.3683567629337632</v>
      </c>
      <c r="ED57" s="8">
        <f t="shared" si="122"/>
        <v>2.0715227164205423</v>
      </c>
      <c r="EF57" s="23">
        <f t="shared" si="123"/>
        <v>1.0922580595951752</v>
      </c>
      <c r="EG57" s="8">
        <f t="shared" si="84"/>
        <v>2.4630421732807739</v>
      </c>
      <c r="EH57">
        <f t="shared" si="124"/>
        <v>0.91649999999999998</v>
      </c>
      <c r="EI57" s="8">
        <f t="shared" si="125"/>
        <v>4.4718002328759487</v>
      </c>
    </row>
    <row r="58" spans="7:139" x14ac:dyDescent="0.3">
      <c r="G58" s="10"/>
      <c r="H58" s="10"/>
      <c r="I58" s="6">
        <v>40</v>
      </c>
      <c r="J58" s="6">
        <f t="shared" si="85"/>
        <v>0.28899999999999998</v>
      </c>
      <c r="K58" s="6">
        <f t="shared" si="128"/>
        <v>-0.22247929999999999</v>
      </c>
      <c r="L58" s="23">
        <f t="shared" si="130"/>
        <v>-7.5828838562952088</v>
      </c>
      <c r="M58">
        <f t="shared" si="87"/>
        <v>5.3128771563833581</v>
      </c>
      <c r="N58" s="24">
        <f t="shared" si="88"/>
        <v>2.26064277</v>
      </c>
      <c r="O58" s="23">
        <f t="shared" si="89"/>
        <v>-7.6012763580156406</v>
      </c>
      <c r="P58">
        <f t="shared" si="90"/>
        <v>5.3351689907731954</v>
      </c>
      <c r="Q58" s="24">
        <f t="shared" si="91"/>
        <v>2.2383948400000002</v>
      </c>
      <c r="R58" s="23">
        <f t="shared" si="0"/>
        <v>-7.6191684017930594</v>
      </c>
      <c r="S58">
        <f t="shared" si="1"/>
        <v>5.3578644698266746</v>
      </c>
      <c r="T58" s="24">
        <f t="shared" si="2"/>
        <v>2.2161469100000004</v>
      </c>
      <c r="U58" s="23">
        <f t="shared" si="3"/>
        <v>-7.636551131960875</v>
      </c>
      <c r="V58">
        <f t="shared" si="4"/>
        <v>5.3809523604170453</v>
      </c>
      <c r="W58" s="24">
        <f t="shared" si="5"/>
        <v>2.1938989800000006</v>
      </c>
      <c r="X58" s="23">
        <f t="shared" si="6"/>
        <v>-7.6534159449372545</v>
      </c>
      <c r="Y58">
        <f t="shared" si="7"/>
        <v>5.4044212351934746</v>
      </c>
      <c r="Z58" s="24">
        <f t="shared" si="8"/>
        <v>2.1716510500000008</v>
      </c>
      <c r="AA58" s="23">
        <f t="shared" si="9"/>
        <v>-7.6697544934834658</v>
      </c>
      <c r="AB58">
        <f t="shared" si="10"/>
        <v>5.4282594782370195</v>
      </c>
      <c r="AC58" s="24">
        <f t="shared" si="11"/>
        <v>2.149403120000001</v>
      </c>
      <c r="AD58" s="23">
        <f t="shared" si="12"/>
        <v>-7.6855586908353413</v>
      </c>
      <c r="AE58">
        <f t="shared" si="13"/>
        <v>5.4524552908099206</v>
      </c>
      <c r="AF58" s="24">
        <f t="shared" si="14"/>
        <v>2.1271551900000012</v>
      </c>
      <c r="AG58" s="23">
        <f t="shared" si="15"/>
        <v>-7.7008207147058236</v>
      </c>
      <c r="AH58">
        <f t="shared" si="16"/>
        <v>5.476996697195391</v>
      </c>
      <c r="AI58" s="24">
        <f t="shared" si="17"/>
        <v>2.1049072600000014</v>
      </c>
      <c r="AJ58" s="23">
        <f t="shared" si="18"/>
        <v>-7.7155330111566061</v>
      </c>
      <c r="AK58">
        <f t="shared" si="19"/>
        <v>5.5018715506249949</v>
      </c>
      <c r="AL58" s="24">
        <f t="shared" si="20"/>
        <v>2.0826593300000016</v>
      </c>
      <c r="AM58" s="23">
        <f t="shared" si="21"/>
        <v>-7.7296882983369519</v>
      </c>
      <c r="AN58">
        <f t="shared" si="22"/>
        <v>5.5270675392906918</v>
      </c>
      <c r="AO58" s="24">
        <f t="shared" si="23"/>
        <v>2.0604114000000018</v>
      </c>
      <c r="AP58" s="23">
        <f t="shared" si="24"/>
        <v>-7.7432795700878501</v>
      </c>
      <c r="AQ58">
        <f t="shared" si="25"/>
        <v>5.5525721924385634</v>
      </c>
      <c r="AR58" s="24">
        <f t="shared" si="26"/>
        <v>2.038163470000002</v>
      </c>
      <c r="AS58" s="23">
        <f t="shared" si="27"/>
        <v>-7.7563000994097093</v>
      </c>
      <c r="AT58">
        <f t="shared" si="28"/>
        <v>5.5783728865412154</v>
      </c>
      <c r="AU58" s="24">
        <f t="shared" si="29"/>
        <v>2.0159155400000022</v>
      </c>
      <c r="AV58" s="23">
        <f t="shared" si="30"/>
        <v>-7.768743441791889</v>
      </c>
      <c r="AW58">
        <f t="shared" si="31"/>
        <v>5.6044568515457893</v>
      </c>
      <c r="AX58" s="24">
        <f t="shared" si="32"/>
        <v>1.9936676100000021</v>
      </c>
      <c r="AY58" s="23">
        <f t="shared" si="33"/>
        <v>-7.7806034384024096</v>
      </c>
      <c r="AZ58">
        <f t="shared" si="34"/>
        <v>5.6308111771945031</v>
      </c>
      <c r="BA58" s="24">
        <f t="shared" si="35"/>
        <v>1.9714196800000021</v>
      </c>
      <c r="BB58" s="23">
        <f t="shared" si="36"/>
        <v>-7.7918742191362655</v>
      </c>
      <c r="BC58">
        <f t="shared" si="37"/>
        <v>5.6574228194145793</v>
      </c>
      <c r="BD58" s="24">
        <f t="shared" si="38"/>
        <v>1.9491717500000021</v>
      </c>
      <c r="BE58" s="23">
        <f t="shared" si="39"/>
        <v>-7.8025502055208333</v>
      </c>
      <c r="BF58">
        <f t="shared" si="40"/>
        <v>5.684278606774412</v>
      </c>
      <c r="BG58" s="24">
        <f t="shared" si="41"/>
        <v>1.9269238200000021</v>
      </c>
      <c r="BH58" s="23">
        <f t="shared" si="42"/>
        <v>-7.8126261134769361</v>
      </c>
      <c r="BI58">
        <f t="shared" si="43"/>
        <v>5.7113652470027638</v>
      </c>
      <c r="BJ58" s="24">
        <f t="shared" si="44"/>
        <v>1.904675890000002</v>
      </c>
      <c r="BK58" s="23">
        <f t="shared" si="45"/>
        <v>-7.8220969559342004</v>
      </c>
      <c r="BL58">
        <f t="shared" si="46"/>
        <v>5.7386693335677759</v>
      </c>
      <c r="BM58" s="24">
        <f t="shared" si="47"/>
        <v>1.882427960000002</v>
      </c>
      <c r="BN58" s="23">
        <f t="shared" si="48"/>
        <v>-7.8309580452994041</v>
      </c>
      <c r="BO58">
        <f t="shared" si="49"/>
        <v>5.7661773523125319</v>
      </c>
      <c r="BP58" s="24">
        <f t="shared" si="50"/>
        <v>1.860180030000002</v>
      </c>
      <c r="BQ58" s="23">
        <f t="shared" si="51"/>
        <v>-7.839204995776603</v>
      </c>
      <c r="BR58">
        <f t="shared" si="52"/>
        <v>5.7938756881438884</v>
      </c>
      <c r="BS58" s="24">
        <f t="shared" si="53"/>
        <v>1.837932100000002</v>
      </c>
      <c r="BT58" s="23">
        <f t="shared" si="54"/>
        <v>-7.8468337255378788</v>
      </c>
      <c r="BU58">
        <f t="shared" si="55"/>
        <v>5.8217506317712653</v>
      </c>
      <c r="BV58" s="24">
        <f t="shared" si="56"/>
        <v>1.8156841700000019</v>
      </c>
      <c r="BW58" s="23">
        <f t="shared" si="57"/>
        <v>-7.8538404587436386</v>
      </c>
      <c r="BX58">
        <f t="shared" si="58"/>
        <v>5.8497883864920572</v>
      </c>
      <c r="BY58" s="24">
        <f t="shared" si="59"/>
        <v>1.7934362400000019</v>
      </c>
      <c r="BZ58" s="23">
        <f t="shared" si="60"/>
        <v>-7.8602217274114698</v>
      </c>
      <c r="CA58">
        <f t="shared" si="61"/>
        <v>5.8779750750203137</v>
      </c>
      <c r="CB58" s="24">
        <f t="shared" si="62"/>
        <v>1.7711883100000019</v>
      </c>
      <c r="CC58" s="23">
        <f t="shared" si="63"/>
        <v>-7.8659743731326159</v>
      </c>
      <c r="CD58">
        <f t="shared" si="64"/>
        <v>5.9062967463552996</v>
      </c>
      <c r="CE58" s="24">
        <f t="shared" si="65"/>
        <v>1.7489403800000018</v>
      </c>
      <c r="CF58" s="23">
        <f t="shared" si="66"/>
        <v>-7.871095548635231</v>
      </c>
      <c r="CG58">
        <f t="shared" si="67"/>
        <v>5.9347393826865442</v>
      </c>
      <c r="CH58" s="24">
        <f t="shared" si="68"/>
        <v>1.7266924500000018</v>
      </c>
      <c r="CI58" s="23">
        <f t="shared" si="69"/>
        <v>-7.8755827191936358</v>
      </c>
      <c r="CJ58">
        <f t="shared" si="70"/>
        <v>5.9632889063319539</v>
      </c>
      <c r="CK58" s="24">
        <f t="shared" si="71"/>
        <v>1.7044445200000018</v>
      </c>
      <c r="CL58" s="23">
        <f t="shared" si="72"/>
        <v>-7.8794336638828826</v>
      </c>
      <c r="CM58">
        <f t="shared" si="73"/>
        <v>5.9919311867055614</v>
      </c>
      <c r="CN58" s="24">
        <f t="shared" si="74"/>
        <v>1.6821965900000018</v>
      </c>
      <c r="CO58" s="23">
        <f t="shared" si="75"/>
        <v>-7.8826464766779996</v>
      </c>
      <c r="CP58">
        <f t="shared" si="76"/>
        <v>6.0206520473114615</v>
      </c>
      <c r="CQ58" s="24">
        <f t="shared" si="77"/>
        <v>1.6599486600000017</v>
      </c>
      <c r="CR58" s="23">
        <f t="shared" si="78"/>
        <v>-7.8852195673973808</v>
      </c>
      <c r="CS58">
        <f t="shared" si="79"/>
        <v>6.0494372727604633</v>
      </c>
      <c r="CT58" s="24">
        <f t="shared" si="80"/>
        <v>1.6377007300000017</v>
      </c>
      <c r="CU58" s="23">
        <f t="shared" si="81"/>
        <v>-7.8871516624898428</v>
      </c>
      <c r="CV58">
        <f t="shared" si="82"/>
        <v>6.0782726158059983</v>
      </c>
      <c r="CW58" s="24">
        <f t="shared" si="83"/>
        <v>1.6154528000000017</v>
      </c>
      <c r="CY58" s="8">
        <f t="shared" si="129"/>
        <v>1.3683567629337632</v>
      </c>
      <c r="CZ58" s="8">
        <f t="shared" si="92"/>
        <v>1.382752714962195</v>
      </c>
      <c r="DA58" s="8">
        <f t="shared" si="93"/>
        <v>1.3981430188617063</v>
      </c>
      <c r="DB58" s="8">
        <f t="shared" si="94"/>
        <v>1.4144877301538503</v>
      </c>
      <c r="DC58" s="8">
        <f t="shared" si="95"/>
        <v>1.4317462169556201</v>
      </c>
      <c r="DD58" s="8">
        <f t="shared" si="96"/>
        <v>1.4498774642861678</v>
      </c>
      <c r="DE58" s="8">
        <f t="shared" si="97"/>
        <v>1.4688403500467127</v>
      </c>
      <c r="DF58" s="8">
        <f t="shared" si="98"/>
        <v>1.4885938912467966</v>
      </c>
      <c r="DG58" s="8">
        <f t="shared" si="99"/>
        <v>1.5090974600610314</v>
      </c>
      <c r="DH58" s="8">
        <f t="shared" si="100"/>
        <v>1.5303109701455102</v>
      </c>
      <c r="DI58" s="8">
        <f t="shared" si="101"/>
        <v>1.5521950343174811</v>
      </c>
      <c r="DJ58" s="8">
        <f t="shared" si="102"/>
        <v>1.5747110952117531</v>
      </c>
      <c r="DK58" s="8">
        <f t="shared" si="103"/>
        <v>1.5978215308860186</v>
      </c>
      <c r="DL58" s="8">
        <f t="shared" si="104"/>
        <v>1.6214897375731441</v>
      </c>
      <c r="DM58" s="8">
        <f t="shared" si="105"/>
        <v>1.6456801918919193</v>
      </c>
      <c r="DN58" s="8">
        <f t="shared" si="106"/>
        <v>1.6703584948498715</v>
      </c>
      <c r="DO58">
        <f t="shared" si="107"/>
        <v>1.6954913999225711</v>
      </c>
      <c r="DP58" s="8">
        <f t="shared" si="108"/>
        <v>1.7210468273917352</v>
      </c>
      <c r="DQ58">
        <f t="shared" si="109"/>
        <v>1.7469938669853216</v>
      </c>
      <c r="DR58" s="8">
        <f t="shared" si="110"/>
        <v>1.7733027707001769</v>
      </c>
      <c r="DS58">
        <f t="shared" si="111"/>
        <v>1.7999449375126058</v>
      </c>
      <c r="DT58" s="8">
        <f t="shared" si="112"/>
        <v>1.8268928915030509</v>
      </c>
      <c r="DU58">
        <f t="shared" si="113"/>
        <v>1.854120254744418</v>
      </c>
      <c r="DV58" s="8">
        <f t="shared" si="114"/>
        <v>1.8816017161341356</v>
      </c>
      <c r="DW58">
        <f t="shared" si="115"/>
        <v>1.9093129971909988</v>
      </c>
      <c r="DX58" s="8">
        <f t="shared" si="116"/>
        <v>1.9372308156911728</v>
      </c>
      <c r="DY58">
        <f t="shared" si="117"/>
        <v>1.9653328478844823</v>
      </c>
      <c r="DZ58" s="8">
        <f t="shared" si="118"/>
        <v>1.9935976899125427</v>
      </c>
      <c r="EA58">
        <f t="shared" si="119"/>
        <v>2.022004818944231</v>
      </c>
      <c r="EB58" s="8">
        <f t="shared" si="120"/>
        <v>2.0505345544508504</v>
      </c>
      <c r="EC58">
        <f t="shared" si="121"/>
        <v>1.3683567629337632</v>
      </c>
      <c r="ED58" s="8">
        <f t="shared" si="122"/>
        <v>2.0505345544508504</v>
      </c>
      <c r="EF58" s="23">
        <f t="shared" si="123"/>
        <v>0.93380018841035284</v>
      </c>
      <c r="EG58" s="8">
        <f t="shared" si="84"/>
        <v>2.4630421732807739</v>
      </c>
      <c r="EH58">
        <f t="shared" si="124"/>
        <v>0.91649999999999998</v>
      </c>
      <c r="EI58" s="8">
        <f t="shared" si="125"/>
        <v>4.3133423616911264</v>
      </c>
    </row>
    <row r="59" spans="7:139" x14ac:dyDescent="0.3">
      <c r="G59" s="10"/>
      <c r="H59" s="10"/>
      <c r="I59" s="6">
        <v>41</v>
      </c>
      <c r="J59" s="6">
        <f t="shared" si="85"/>
        <v>0.28899999999999998</v>
      </c>
      <c r="K59" s="6">
        <f t="shared" si="128"/>
        <v>-0.17011939999999998</v>
      </c>
      <c r="L59" s="23">
        <f t="shared" si="130"/>
        <v>-7.5828838562952088</v>
      </c>
      <c r="M59">
        <f t="shared" si="87"/>
        <v>5.3128771563833581</v>
      </c>
      <c r="N59" s="24">
        <f t="shared" si="88"/>
        <v>2.2658787599999997</v>
      </c>
      <c r="O59" s="23">
        <f t="shared" si="89"/>
        <v>-7.6013928251841856</v>
      </c>
      <c r="P59">
        <f t="shared" si="90"/>
        <v>5.3350723826869331</v>
      </c>
      <c r="Q59" s="24">
        <f t="shared" si="91"/>
        <v>2.2488668199999995</v>
      </c>
      <c r="R59" s="23">
        <f t="shared" si="0"/>
        <v>-7.6195215501875664</v>
      </c>
      <c r="S59">
        <f t="shared" si="1"/>
        <v>5.3575792556316983</v>
      </c>
      <c r="T59" s="24">
        <f t="shared" si="2"/>
        <v>2.2318548799999993</v>
      </c>
      <c r="U59" s="23">
        <f t="shared" si="3"/>
        <v>-7.6372647848682345</v>
      </c>
      <c r="V59">
        <f t="shared" si="4"/>
        <v>5.3803912617483629</v>
      </c>
      <c r="W59" s="24">
        <f t="shared" si="5"/>
        <v>2.2148429399999991</v>
      </c>
      <c r="X59" s="23">
        <f t="shared" si="6"/>
        <v>-7.6546173943496347</v>
      </c>
      <c r="Y59">
        <f t="shared" si="7"/>
        <v>5.4035017992623633</v>
      </c>
      <c r="Z59" s="24">
        <f t="shared" si="8"/>
        <v>2.197830999999999</v>
      </c>
      <c r="AA59" s="23">
        <f t="shared" si="9"/>
        <v>-7.671574356801802</v>
      </c>
      <c r="AB59">
        <f t="shared" si="10"/>
        <v>5.4269041800044118</v>
      </c>
      <c r="AC59" s="24">
        <f t="shared" si="11"/>
        <v>2.1808190599999988</v>
      </c>
      <c r="AD59" s="23">
        <f t="shared" si="12"/>
        <v>-7.688130764894674</v>
      </c>
      <c r="AE59">
        <f t="shared" si="13"/>
        <v>5.4505916313460459</v>
      </c>
      <c r="AF59" s="24">
        <f t="shared" si="14"/>
        <v>2.1638071199999986</v>
      </c>
      <c r="AG59" s="23">
        <f t="shared" si="15"/>
        <v>-7.7042818272182689</v>
      </c>
      <c r="AH59">
        <f t="shared" si="16"/>
        <v>5.4745572981596222</v>
      </c>
      <c r="AI59" s="24">
        <f t="shared" si="17"/>
        <v>2.1467951799999985</v>
      </c>
      <c r="AJ59" s="23">
        <f t="shared" si="18"/>
        <v>-7.7200228696693154</v>
      </c>
      <c r="AK59">
        <f t="shared" si="19"/>
        <v>5.4987942448021832</v>
      </c>
      <c r="AL59" s="24">
        <f t="shared" si="20"/>
        <v>2.1297832399999983</v>
      </c>
      <c r="AM59" s="23">
        <f t="shared" si="21"/>
        <v>-7.7353493368039334</v>
      </c>
      <c r="AN59">
        <f t="shared" si="22"/>
        <v>5.5232954571226269</v>
      </c>
      <c r="AO59" s="24">
        <f t="shared" si="23"/>
        <v>2.1127712999999981</v>
      </c>
      <c r="AP59" s="23">
        <f t="shared" si="24"/>
        <v>-7.7502567931559767</v>
      </c>
      <c r="AQ59">
        <f t="shared" si="25"/>
        <v>5.5480538444915961</v>
      </c>
      <c r="AR59" s="24">
        <f t="shared" si="26"/>
        <v>2.095759359999998</v>
      </c>
      <c r="AS59" s="23">
        <f t="shared" si="27"/>
        <v>-7.76474092452065</v>
      </c>
      <c r="AT59">
        <f t="shared" si="28"/>
        <v>5.5730622418535001</v>
      </c>
      <c r="AU59" s="24">
        <f t="shared" si="29"/>
        <v>2.0787474199999978</v>
      </c>
      <c r="AV59" s="23">
        <f t="shared" si="30"/>
        <v>-7.7787975392030404</v>
      </c>
      <c r="AW59">
        <f t="shared" si="31"/>
        <v>5.598313411800075</v>
      </c>
      <c r="AX59" s="24">
        <f t="shared" si="32"/>
        <v>2.0617354799999976</v>
      </c>
      <c r="AY59" s="23">
        <f t="shared" si="33"/>
        <v>-7.7924225692311859</v>
      </c>
      <c r="AZ59">
        <f t="shared" si="34"/>
        <v>5.6238000466648845</v>
      </c>
      <c r="BA59" s="24">
        <f t="shared" si="35"/>
        <v>2.0447235399999975</v>
      </c>
      <c r="BB59" s="23">
        <f t="shared" si="36"/>
        <v>-7.8056120715333464</v>
      </c>
      <c r="BC59">
        <f t="shared" si="37"/>
        <v>5.6495147706381514</v>
      </c>
      <c r="BD59" s="24">
        <f t="shared" si="38"/>
        <v>2.0277115999999973</v>
      </c>
      <c r="BE59" s="23">
        <f t="shared" si="39"/>
        <v>-7.8183622290791233</v>
      </c>
      <c r="BF59">
        <f t="shared" si="40"/>
        <v>5.6754501419013099</v>
      </c>
      <c r="BG59" s="24">
        <f t="shared" si="41"/>
        <v>2.0106996599999971</v>
      </c>
      <c r="BH59" s="23">
        <f t="shared" si="42"/>
        <v>-7.8306693519841053</v>
      </c>
      <c r="BI59">
        <f t="shared" si="43"/>
        <v>5.7015986547806623</v>
      </c>
      <c r="BJ59" s="24">
        <f t="shared" si="44"/>
        <v>1.9936877199999972</v>
      </c>
      <c r="BK59" s="23">
        <f t="shared" si="45"/>
        <v>-7.8425298785777162</v>
      </c>
      <c r="BL59">
        <f t="shared" si="46"/>
        <v>5.7279527419195153</v>
      </c>
      <c r="BM59" s="24">
        <f t="shared" si="47"/>
        <v>1.9766757799999972</v>
      </c>
      <c r="BN59" s="23">
        <f t="shared" si="48"/>
        <v>-7.8539403764339628</v>
      </c>
      <c r="BO59">
        <f t="shared" si="49"/>
        <v>5.7545047764681634</v>
      </c>
      <c r="BP59" s="24">
        <f t="shared" si="50"/>
        <v>1.9596638399999973</v>
      </c>
      <c r="BQ59" s="23">
        <f t="shared" si="51"/>
        <v>-7.8648975433647728</v>
      </c>
      <c r="BR59">
        <f t="shared" si="52"/>
        <v>5.7812470742910946</v>
      </c>
      <c r="BS59" s="24">
        <f t="shared" si="53"/>
        <v>1.9426518999999973</v>
      </c>
      <c r="BT59" s="23">
        <f t="shared" si="54"/>
        <v>-7.8753982083756462</v>
      </c>
      <c r="BU59">
        <f t="shared" si="55"/>
        <v>5.8081718961907738</v>
      </c>
      <c r="BV59" s="24">
        <f t="shared" si="56"/>
        <v>1.9256399599999974</v>
      </c>
      <c r="BW59" s="23">
        <f t="shared" si="57"/>
        <v>-7.8854393325833376</v>
      </c>
      <c r="BX59">
        <f t="shared" si="58"/>
        <v>5.8352714501473564</v>
      </c>
      <c r="BY59" s="24">
        <f t="shared" si="59"/>
        <v>1.9086280199999974</v>
      </c>
      <c r="BZ59" s="23">
        <f t="shared" si="60"/>
        <v>-7.895018010095308</v>
      </c>
      <c r="CA59">
        <f t="shared" si="61"/>
        <v>5.8625378935736938</v>
      </c>
      <c r="CB59" s="24">
        <f t="shared" si="62"/>
        <v>1.8916160799999975</v>
      </c>
      <c r="CC59" s="23">
        <f t="shared" si="63"/>
        <v>-7.9041314688506867</v>
      </c>
      <c r="CD59">
        <f t="shared" si="64"/>
        <v>5.889963335584973</v>
      </c>
      <c r="CE59" s="24">
        <f t="shared" si="65"/>
        <v>1.8746041399999975</v>
      </c>
      <c r="CF59" s="23">
        <f t="shared" si="66"/>
        <v>-7.9127770714225019</v>
      </c>
      <c r="CG59">
        <f t="shared" si="67"/>
        <v>5.9175398392823277</v>
      </c>
      <c r="CH59" s="24">
        <f t="shared" si="68"/>
        <v>1.8575921999999976</v>
      </c>
      <c r="CI59" s="23">
        <f t="shared" si="69"/>
        <v>-7.9209523157809523</v>
      </c>
      <c r="CJ59">
        <f t="shared" si="70"/>
        <v>5.945259424049774</v>
      </c>
      <c r="CK59" s="24">
        <f t="shared" si="71"/>
        <v>1.8405802599999976</v>
      </c>
      <c r="CL59" s="23">
        <f t="shared" si="72"/>
        <v>-7.9286548360174898</v>
      </c>
      <c r="CM59">
        <f t="shared" si="73"/>
        <v>5.9731140678637908</v>
      </c>
      <c r="CN59" s="24">
        <f t="shared" si="74"/>
        <v>1.8235683199999977</v>
      </c>
      <c r="CO59" s="23">
        <f t="shared" si="75"/>
        <v>-7.9358824030295141</v>
      </c>
      <c r="CP59">
        <f t="shared" si="76"/>
        <v>6.0010957096148871</v>
      </c>
      <c r="CQ59" s="24">
        <f t="shared" si="77"/>
        <v>1.8065563799999977</v>
      </c>
      <c r="CR59" s="23">
        <f t="shared" si="78"/>
        <v>-7.9426329251654701</v>
      </c>
      <c r="CS59">
        <f t="shared" si="79"/>
        <v>6.0291962514404815</v>
      </c>
      <c r="CT59" s="24">
        <f t="shared" si="80"/>
        <v>1.7895444399999978</v>
      </c>
      <c r="CU59" s="23">
        <f t="shared" si="81"/>
        <v>-7.9489044488301719</v>
      </c>
      <c r="CV59">
        <f t="shared" si="82"/>
        <v>6.0574075610684144</v>
      </c>
      <c r="CW59" s="24">
        <f t="shared" si="83"/>
        <v>1.7725324999999978</v>
      </c>
      <c r="CY59" s="8">
        <f t="shared" si="129"/>
        <v>1.3683567629337632</v>
      </c>
      <c r="CZ59" s="8">
        <f t="shared" si="92"/>
        <v>1.3826219973917839</v>
      </c>
      <c r="DA59" s="8">
        <f t="shared" si="93"/>
        <v>1.3977580968902088</v>
      </c>
      <c r="DB59" s="8">
        <f t="shared" si="94"/>
        <v>1.41373278267627</v>
      </c>
      <c r="DC59" s="8">
        <f t="shared" si="95"/>
        <v>1.430513418376359</v>
      </c>
      <c r="DD59" s="8">
        <f t="shared" si="96"/>
        <v>1.4480672163022765</v>
      </c>
      <c r="DE59" s="8">
        <f t="shared" si="97"/>
        <v>1.4663614239992604</v>
      </c>
      <c r="DF59" s="8">
        <f t="shared" si="98"/>
        <v>1.4853634904648052</v>
      </c>
      <c r="DG59" s="8">
        <f t="shared" si="99"/>
        <v>1.5050412120260082</v>
      </c>
      <c r="DH59" s="8">
        <f t="shared" si="100"/>
        <v>1.5253628583266083</v>
      </c>
      <c r="DI59" s="8">
        <f t="shared" si="101"/>
        <v>1.5462972792430276</v>
      </c>
      <c r="DJ59" s="8">
        <f t="shared" si="102"/>
        <v>1.5678139938263624</v>
      </c>
      <c r="DK59" s="8">
        <f t="shared" si="103"/>
        <v>1.5898832625623462</v>
      </c>
      <c r="DL59" s="8">
        <f t="shared" si="104"/>
        <v>1.6124761443638804</v>
      </c>
      <c r="DM59" s="8">
        <f t="shared" si="105"/>
        <v>1.635564539771724</v>
      </c>
      <c r="DN59" s="8">
        <f t="shared" si="106"/>
        <v>1.6591212218494873</v>
      </c>
      <c r="DO59">
        <f t="shared" si="107"/>
        <v>1.6831198562297536</v>
      </c>
      <c r="DP59" s="8">
        <f t="shared" si="108"/>
        <v>1.7075350117086583</v>
      </c>
      <c r="DQ59">
        <f t="shared" si="109"/>
        <v>1.732342162705147</v>
      </c>
      <c r="DR59" s="8">
        <f t="shared" si="110"/>
        <v>1.7575176848057013</v>
      </c>
      <c r="DS59">
        <f t="shared" si="111"/>
        <v>1.7830388445115921</v>
      </c>
      <c r="DT59" s="8">
        <f t="shared" si="112"/>
        <v>1.8088837841985526</v>
      </c>
      <c r="DU59">
        <f t="shared" si="113"/>
        <v>1.8350315031919415</v>
      </c>
      <c r="DV59" s="8">
        <f t="shared" si="114"/>
        <v>1.8614618357567487</v>
      </c>
      <c r="DW59">
        <f t="shared" si="115"/>
        <v>1.888155426703245</v>
      </c>
      <c r="DX59" s="8">
        <f t="shared" si="116"/>
        <v>1.9150937052170229</v>
      </c>
      <c r="DY59">
        <f t="shared" si="117"/>
        <v>1.94225885743737</v>
      </c>
      <c r="DZ59" s="8">
        <f t="shared" si="118"/>
        <v>1.969633798230815</v>
      </c>
      <c r="EA59">
        <f t="shared" si="119"/>
        <v>1.9972021425372843</v>
      </c>
      <c r="EB59" s="8">
        <f t="shared" si="120"/>
        <v>2.0249481766044495</v>
      </c>
      <c r="EC59">
        <f t="shared" si="121"/>
        <v>1.3683567629337632</v>
      </c>
      <c r="ED59" s="8">
        <f t="shared" si="122"/>
        <v>2.0249481766044495</v>
      </c>
      <c r="EF59" s="23">
        <f t="shared" si="123"/>
        <v>0.77520359346582968</v>
      </c>
      <c r="EG59" s="8">
        <f t="shared" si="84"/>
        <v>2.4630421732807739</v>
      </c>
      <c r="EH59">
        <f t="shared" si="124"/>
        <v>0.91649999999999998</v>
      </c>
      <c r="EI59" s="8">
        <f t="shared" si="125"/>
        <v>4.1547457667466032</v>
      </c>
    </row>
    <row r="60" spans="7:139" x14ac:dyDescent="0.3">
      <c r="G60" s="10"/>
      <c r="H60" s="10"/>
      <c r="I60" s="6">
        <v>42</v>
      </c>
      <c r="J60" s="6">
        <f t="shared" si="85"/>
        <v>0.28899999999999998</v>
      </c>
      <c r="K60" s="6">
        <f t="shared" si="128"/>
        <v>-0.11775949999999998</v>
      </c>
      <c r="L60" s="23">
        <f t="shared" si="130"/>
        <v>-7.5828838562952088</v>
      </c>
      <c r="M60">
        <f t="shared" si="87"/>
        <v>5.3128771563833581</v>
      </c>
      <c r="N60" s="24">
        <f t="shared" si="88"/>
        <v>2.2711147499999997</v>
      </c>
      <c r="O60" s="23">
        <f t="shared" si="89"/>
        <v>-7.6015087849195639</v>
      </c>
      <c r="P60">
        <f t="shared" si="90"/>
        <v>5.3349751661068083</v>
      </c>
      <c r="Q60" s="24">
        <f t="shared" si="91"/>
        <v>2.2593387999999996</v>
      </c>
      <c r="R60" s="23">
        <f t="shared" si="0"/>
        <v>-7.6198722031282138</v>
      </c>
      <c r="S60">
        <f t="shared" si="1"/>
        <v>5.3572909648084961</v>
      </c>
      <c r="T60" s="24">
        <f t="shared" si="2"/>
        <v>2.2475628499999996</v>
      </c>
      <c r="U60" s="23">
        <f t="shared" si="3"/>
        <v>-7.6379715644403223</v>
      </c>
      <c r="V60">
        <f t="shared" si="4"/>
        <v>5.3798214579254644</v>
      </c>
      <c r="W60" s="24">
        <f t="shared" si="5"/>
        <v>2.2357868999999995</v>
      </c>
      <c r="X60" s="23">
        <f t="shared" si="6"/>
        <v>-7.6558043589921914</v>
      </c>
      <c r="Y60">
        <f t="shared" si="7"/>
        <v>5.4025635211227829</v>
      </c>
      <c r="Z60" s="24">
        <f t="shared" si="8"/>
        <v>2.2240109499999994</v>
      </c>
      <c r="AA60" s="23">
        <f t="shared" si="9"/>
        <v>-7.6733681138853074</v>
      </c>
      <c r="AB60">
        <f t="shared" si="10"/>
        <v>5.4255140007268032</v>
      </c>
      <c r="AC60" s="24">
        <f t="shared" si="11"/>
        <v>2.2122349999999993</v>
      </c>
      <c r="AD60" s="23">
        <f t="shared" si="12"/>
        <v>-7.6906603935292628</v>
      </c>
      <c r="AE60">
        <f t="shared" si="13"/>
        <v>5.4486697141624809</v>
      </c>
      <c r="AF60" s="24">
        <f t="shared" si="14"/>
        <v>2.2004590499999992</v>
      </c>
      <c r="AG60" s="23">
        <f t="shared" si="15"/>
        <v>-7.7076787999795009</v>
      </c>
      <c r="AH60">
        <f t="shared" si="16"/>
        <v>5.4720274503947124</v>
      </c>
      <c r="AI60" s="24">
        <f t="shared" si="17"/>
        <v>2.1886830999999991</v>
      </c>
      <c r="AJ60" s="23">
        <f t="shared" si="18"/>
        <v>-7.7244209732698437</v>
      </c>
      <c r="AK60">
        <f t="shared" si="19"/>
        <v>5.4955839703736089</v>
      </c>
      <c r="AL60" s="24">
        <f t="shared" si="20"/>
        <v>2.176907149999999</v>
      </c>
      <c r="AM60" s="23">
        <f t="shared" si="21"/>
        <v>-7.7408845917397509</v>
      </c>
      <c r="AN60">
        <f t="shared" si="22"/>
        <v>5.5193360074836617</v>
      </c>
      <c r="AO60" s="24">
        <f t="shared" si="23"/>
        <v>2.1651311999999989</v>
      </c>
      <c r="AP60" s="23">
        <f t="shared" si="24"/>
        <v>-7.7570673723562669</v>
      </c>
      <c r="AQ60">
        <f t="shared" si="25"/>
        <v>5.5432802679967308</v>
      </c>
      <c r="AR60" s="24">
        <f t="shared" si="26"/>
        <v>2.1533552499999988</v>
      </c>
      <c r="AS60" s="23">
        <f t="shared" si="27"/>
        <v>-7.7729670710306147</v>
      </c>
      <c r="AT60">
        <f t="shared" si="28"/>
        <v>5.5674134315287862</v>
      </c>
      <c r="AU60" s="24">
        <f t="shared" si="29"/>
        <v>2.1415792999999987</v>
      </c>
      <c r="AV60" s="23">
        <f t="shared" si="30"/>
        <v>-7.7885814829293851</v>
      </c>
      <c r="AW60">
        <f t="shared" si="31"/>
        <v>5.591732151500354</v>
      </c>
      <c r="AX60" s="24">
        <f t="shared" si="32"/>
        <v>2.1298033499999987</v>
      </c>
      <c r="AY60" s="23">
        <f t="shared" si="33"/>
        <v>-7.8039084427802843</v>
      </c>
      <c r="AZ60">
        <f t="shared" si="34"/>
        <v>5.6162330556005893</v>
      </c>
      <c r="BA60" s="24">
        <f t="shared" si="35"/>
        <v>2.1180273999999986</v>
      </c>
      <c r="BB60" s="23">
        <f t="shared" si="36"/>
        <v>-7.8189458251723947</v>
      </c>
      <c r="BC60">
        <f t="shared" si="37"/>
        <v>5.6409127462549202</v>
      </c>
      <c r="BD60" s="24">
        <f t="shared" si="38"/>
        <v>2.1062514499999985</v>
      </c>
      <c r="BE60" s="23">
        <f t="shared" si="39"/>
        <v>-7.8336915448509092</v>
      </c>
      <c r="BF60">
        <f t="shared" si="40"/>
        <v>5.6657678010961927</v>
      </c>
      <c r="BG60" s="24">
        <f t="shared" si="41"/>
        <v>2.0944754999999984</v>
      </c>
      <c r="BH60" s="23">
        <f t="shared" si="42"/>
        <v>-7.8481435570062965</v>
      </c>
      <c r="BI60">
        <f t="shared" si="43"/>
        <v>5.6907947734392579</v>
      </c>
      <c r="BJ60" s="24">
        <f t="shared" si="44"/>
        <v>2.0826995499999983</v>
      </c>
      <c r="BK60" s="23">
        <f t="shared" si="45"/>
        <v>-7.8622998575578578</v>
      </c>
      <c r="BL60">
        <f t="shared" si="46"/>
        <v>5.7159901927589258</v>
      </c>
      <c r="BM60" s="24">
        <f t="shared" si="47"/>
        <v>2.0709235999999982</v>
      </c>
      <c r="BN60" s="23">
        <f t="shared" si="48"/>
        <v>-7.8761584834316345</v>
      </c>
      <c r="BO60">
        <f t="shared" si="49"/>
        <v>5.7413505651712287</v>
      </c>
      <c r="BP60" s="24">
        <f t="shared" si="50"/>
        <v>2.0591476499999981</v>
      </c>
      <c r="BQ60" s="23">
        <f t="shared" si="51"/>
        <v>-7.8897175128326316</v>
      </c>
      <c r="BR60">
        <f t="shared" si="52"/>
        <v>5.7668723739179244</v>
      </c>
      <c r="BS60" s="24">
        <f t="shared" si="53"/>
        <v>2.047371699999998</v>
      </c>
      <c r="BT60" s="23">
        <f t="shared" si="54"/>
        <v>-7.9029750655113151</v>
      </c>
      <c r="BU60">
        <f t="shared" si="55"/>
        <v>5.7925520798541674</v>
      </c>
      <c r="BV60" s="24">
        <f t="shared" si="56"/>
        <v>2.0355957499999979</v>
      </c>
      <c r="BW60" s="23">
        <f t="shared" si="57"/>
        <v>-7.9159293030243489</v>
      </c>
      <c r="BX60">
        <f t="shared" si="58"/>
        <v>5.8183861219392901</v>
      </c>
      <c r="BY60" s="24">
        <f t="shared" si="59"/>
        <v>2.0238197999999978</v>
      </c>
      <c r="BZ60" s="23">
        <f t="shared" si="60"/>
        <v>-7.9285784289895354</v>
      </c>
      <c r="CA60">
        <f t="shared" si="61"/>
        <v>5.8443709177306147</v>
      </c>
      <c r="CB60" s="24">
        <f t="shared" si="62"/>
        <v>2.0120438499999977</v>
      </c>
      <c r="CC60" s="23">
        <f t="shared" si="63"/>
        <v>-7.9409206893349191</v>
      </c>
      <c r="CD60">
        <f t="shared" si="64"/>
        <v>5.8705028638802377</v>
      </c>
      <c r="CE60" s="24">
        <f t="shared" si="65"/>
        <v>2.0002678999999977</v>
      </c>
      <c r="CF60" s="23">
        <f t="shared" si="66"/>
        <v>-7.9529543725420293</v>
      </c>
      <c r="CG60">
        <f t="shared" si="67"/>
        <v>5.896778336634708</v>
      </c>
      <c r="CH60" s="24">
        <f t="shared" si="68"/>
        <v>1.9884919499999976</v>
      </c>
      <c r="CI60" s="23">
        <f t="shared" si="69"/>
        <v>-7.9646778098832183</v>
      </c>
      <c r="CJ60">
        <f t="shared" si="70"/>
        <v>5.9231936923375414</v>
      </c>
      <c r="CK60" s="24">
        <f t="shared" si="71"/>
        <v>1.9767159999999975</v>
      </c>
      <c r="CL60" s="23">
        <f t="shared" si="72"/>
        <v>-7.9760893756530651</v>
      </c>
      <c r="CM60">
        <f t="shared" si="73"/>
        <v>5.9497452679344898</v>
      </c>
      <c r="CN60" s="24">
        <f t="shared" si="74"/>
        <v>1.9649400499999974</v>
      </c>
      <c r="CO60" s="23">
        <f t="shared" si="75"/>
        <v>-7.9871874873938156</v>
      </c>
      <c r="CP60">
        <f t="shared" si="76"/>
        <v>5.9764293814815019</v>
      </c>
      <c r="CQ60" s="24">
        <f t="shared" si="77"/>
        <v>1.9531640999999973</v>
      </c>
      <c r="CR60" s="23">
        <f t="shared" si="78"/>
        <v>-7.9979706061148228</v>
      </c>
      <c r="CS60">
        <f t="shared" si="79"/>
        <v>6.0032423326553035</v>
      </c>
      <c r="CT60" s="24">
        <f t="shared" si="80"/>
        <v>1.9413881499999972</v>
      </c>
      <c r="CU60" s="23">
        <f t="shared" si="81"/>
        <v>-8.0084372365059604</v>
      </c>
      <c r="CV60">
        <f t="shared" si="82"/>
        <v>6.0301804032665274</v>
      </c>
      <c r="CW60" s="24">
        <f t="shared" si="83"/>
        <v>1.9296121999999971</v>
      </c>
      <c r="CY60" s="8">
        <f t="shared" si="129"/>
        <v>1.3683567629337632</v>
      </c>
      <c r="CZ60" s="8">
        <f t="shared" si="92"/>
        <v>1.3824908866348151</v>
      </c>
      <c r="DA60" s="8">
        <f t="shared" si="93"/>
        <v>1.3973711227256469</v>
      </c>
      <c r="DB60" s="8">
        <f t="shared" si="94"/>
        <v>1.4129718693312729</v>
      </c>
      <c r="DC60" s="8">
        <f t="shared" si="95"/>
        <v>1.4292674062183011</v>
      </c>
      <c r="DD60" s="8">
        <f t="shared" si="96"/>
        <v>1.4462320273103688</v>
      </c>
      <c r="DE60" s="8">
        <f t="shared" si="97"/>
        <v>1.4638401599586592</v>
      </c>
      <c r="DF60" s="8">
        <f t="shared" si="98"/>
        <v>1.4820664708758244</v>
      </c>
      <c r="DG60" s="8">
        <f t="shared" si="99"/>
        <v>1.500885958923319</v>
      </c>
      <c r="DH60" s="8">
        <f t="shared" si="100"/>
        <v>1.5202740351725315</v>
      </c>
      <c r="DI60" s="8">
        <f t="shared" si="101"/>
        <v>1.5402065908407145</v>
      </c>
      <c r="DJ60" s="8">
        <f t="shared" si="102"/>
        <v>1.5606600538369724</v>
      </c>
      <c r="DK60" s="8">
        <f t="shared" si="103"/>
        <v>1.5816114347460997</v>
      </c>
      <c r="DL60" s="8">
        <f t="shared" si="104"/>
        <v>1.6030383631340674</v>
      </c>
      <c r="DM60" s="8">
        <f t="shared" si="105"/>
        <v>1.6249191150840989</v>
      </c>
      <c r="DN60" s="8">
        <f t="shared" si="106"/>
        <v>1.647232632871982</v>
      </c>
      <c r="DO60">
        <f t="shared" si="107"/>
        <v>1.6699585376688104</v>
      </c>
      <c r="DP60" s="8">
        <f t="shared" si="108"/>
        <v>1.6930771361234354</v>
      </c>
      <c r="DQ60">
        <f t="shared" si="109"/>
        <v>1.7165694216298168</v>
      </c>
      <c r="DR60" s="8">
        <f t="shared" si="110"/>
        <v>1.7404170710297502</v>
      </c>
      <c r="DS60">
        <f t="shared" si="111"/>
        <v>1.764602437442178</v>
      </c>
      <c r="DT60" s="8">
        <f t="shared" si="112"/>
        <v>1.7891085398489626</v>
      </c>
      <c r="DU60">
        <f t="shared" si="113"/>
        <v>1.8139190500054956</v>
      </c>
      <c r="DV60" s="8">
        <f t="shared" si="114"/>
        <v>1.8390182771844368</v>
      </c>
      <c r="DW60">
        <f t="shared" si="115"/>
        <v>1.8643911512032383</v>
      </c>
      <c r="DX60" s="8">
        <f t="shared" si="116"/>
        <v>1.8900232041317608</v>
      </c>
      <c r="DY60">
        <f t="shared" si="117"/>
        <v>1.9159005510256639</v>
      </c>
      <c r="DZ60" s="8">
        <f t="shared" si="118"/>
        <v>1.9420098699847066</v>
      </c>
      <c r="EA60">
        <f t="shared" si="119"/>
        <v>1.9683383817926592</v>
      </c>
      <c r="EB60" s="8">
        <f t="shared" si="120"/>
        <v>1.9948738293572481</v>
      </c>
      <c r="EC60">
        <f t="shared" si="121"/>
        <v>1.3683567629337632</v>
      </c>
      <c r="ED60" s="8">
        <f t="shared" si="122"/>
        <v>1.9948738293572481</v>
      </c>
      <c r="EF60" s="23">
        <f t="shared" si="123"/>
        <v>0.61648554659761468</v>
      </c>
      <c r="EG60" s="8">
        <f t="shared" si="84"/>
        <v>2.4630421732807739</v>
      </c>
      <c r="EH60">
        <f t="shared" si="124"/>
        <v>0.91649999999999998</v>
      </c>
      <c r="EI60" s="8">
        <f t="shared" si="125"/>
        <v>3.9960277198783887</v>
      </c>
    </row>
    <row r="61" spans="7:139" x14ac:dyDescent="0.3">
      <c r="G61" s="10"/>
      <c r="H61" s="10"/>
      <c r="I61" s="6">
        <v>43</v>
      </c>
      <c r="J61" s="6">
        <f t="shared" si="85"/>
        <v>0.28899999999999998</v>
      </c>
      <c r="K61" s="6">
        <f t="shared" si="128"/>
        <v>-6.5399599999999974E-2</v>
      </c>
      <c r="L61" s="23">
        <f t="shared" si="130"/>
        <v>-7.5828838562952088</v>
      </c>
      <c r="M61">
        <f t="shared" si="87"/>
        <v>5.3128771563833581</v>
      </c>
      <c r="N61" s="24">
        <f t="shared" si="88"/>
        <v>2.2763507399999998</v>
      </c>
      <c r="O61" s="23">
        <f t="shared" si="89"/>
        <v>-7.601624234042677</v>
      </c>
      <c r="P61">
        <f t="shared" si="90"/>
        <v>5.3348773436980652</v>
      </c>
      <c r="Q61" s="24">
        <f t="shared" si="91"/>
        <v>2.2698107799999998</v>
      </c>
      <c r="R61" s="23">
        <f t="shared" si="0"/>
        <v>-7.6202203316991257</v>
      </c>
      <c r="S61">
        <f t="shared" si="1"/>
        <v>5.3569996209757731</v>
      </c>
      <c r="T61" s="24">
        <f t="shared" si="2"/>
        <v>2.2632708199999998</v>
      </c>
      <c r="U61" s="23">
        <f t="shared" si="3"/>
        <v>-7.6386713538922688</v>
      </c>
      <c r="V61">
        <f t="shared" si="4"/>
        <v>5.3792430420262347</v>
      </c>
      <c r="W61" s="24">
        <f t="shared" si="5"/>
        <v>2.2567308599999998</v>
      </c>
      <c r="X61" s="23">
        <f t="shared" si="6"/>
        <v>-7.6569765114548325</v>
      </c>
      <c r="Y61">
        <f t="shared" si="7"/>
        <v>5.4016066554777709</v>
      </c>
      <c r="Z61" s="24">
        <f t="shared" si="8"/>
        <v>2.2501908999999998</v>
      </c>
      <c r="AA61" s="23">
        <f t="shared" si="9"/>
        <v>-7.6751350214583063</v>
      </c>
      <c r="AB61">
        <f t="shared" si="10"/>
        <v>5.424089504817962</v>
      </c>
      <c r="AC61" s="24">
        <f t="shared" si="11"/>
        <v>2.2436509399999998</v>
      </c>
      <c r="AD61" s="23">
        <f t="shared" si="12"/>
        <v>-7.6931461072464327</v>
      </c>
      <c r="AE61">
        <f t="shared" si="13"/>
        <v>5.4466906284345606</v>
      </c>
      <c r="AF61" s="24">
        <f t="shared" si="14"/>
        <v>2.2371109799999997</v>
      </c>
      <c r="AG61" s="23">
        <f t="shared" si="15"/>
        <v>-7.711008998468424</v>
      </c>
      <c r="AH61">
        <f t="shared" si="16"/>
        <v>5.4694090596566172</v>
      </c>
      <c r="AI61" s="24">
        <f t="shared" si="17"/>
        <v>2.2305710199999997</v>
      </c>
      <c r="AJ61" s="23">
        <f t="shared" si="18"/>
        <v>-7.7287229311119106</v>
      </c>
      <c r="AK61">
        <f t="shared" si="19"/>
        <v>5.4922438267958285</v>
      </c>
      <c r="AL61" s="24">
        <f t="shared" si="20"/>
        <v>2.2240310599999997</v>
      </c>
      <c r="AM61" s="23">
        <f t="shared" si="21"/>
        <v>-7.7462871475356199</v>
      </c>
      <c r="AN61">
        <f t="shared" si="22"/>
        <v>5.5151939531880965</v>
      </c>
      <c r="AO61" s="24">
        <f t="shared" si="23"/>
        <v>2.2174910999999997</v>
      </c>
      <c r="AP61" s="23">
        <f t="shared" si="24"/>
        <v>-7.7637008965017795</v>
      </c>
      <c r="AQ61">
        <f t="shared" si="25"/>
        <v>5.538258457235302</v>
      </c>
      <c r="AR61" s="24">
        <f t="shared" si="26"/>
        <v>2.2109511399999997</v>
      </c>
      <c r="AS61" s="23">
        <f t="shared" si="27"/>
        <v>-7.7809634332082505</v>
      </c>
      <c r="AT61">
        <f t="shared" si="28"/>
        <v>5.561436352447287</v>
      </c>
      <c r="AU61" s="24">
        <f t="shared" si="29"/>
        <v>2.2044111799999997</v>
      </c>
      <c r="AV61" s="23">
        <f t="shared" si="30"/>
        <v>-7.7980740193203806</v>
      </c>
      <c r="AW61">
        <f t="shared" si="31"/>
        <v>5.5847266474840485</v>
      </c>
      <c r="AX61" s="24">
        <f t="shared" si="32"/>
        <v>2.1978712199999997</v>
      </c>
      <c r="AY61" s="23">
        <f t="shared" si="33"/>
        <v>-7.8150319230025858</v>
      </c>
      <c r="AZ61">
        <f t="shared" si="34"/>
        <v>5.6081283461981393</v>
      </c>
      <c r="BA61" s="24">
        <f t="shared" si="35"/>
        <v>2.1913312599999997</v>
      </c>
      <c r="BB61" s="23">
        <f t="shared" si="36"/>
        <v>-7.8318364189496501</v>
      </c>
      <c r="BC61">
        <f t="shared" si="37"/>
        <v>5.6316404476772739</v>
      </c>
      <c r="BD61" s="24">
        <f t="shared" si="38"/>
        <v>2.1847912999999997</v>
      </c>
      <c r="BE61" s="23">
        <f t="shared" si="39"/>
        <v>-7.8484867884177483</v>
      </c>
      <c r="BF61">
        <f t="shared" si="40"/>
        <v>5.6552619462871379</v>
      </c>
      <c r="BG61" s="24">
        <f t="shared" si="41"/>
        <v>2.1782513399999996</v>
      </c>
      <c r="BH61" s="23">
        <f t="shared" si="42"/>
        <v>-7.864982319255188</v>
      </c>
      <c r="BI61">
        <f t="shared" si="43"/>
        <v>5.6789918317144021</v>
      </c>
      <c r="BJ61" s="24">
        <f t="shared" si="44"/>
        <v>2.1717113799999996</v>
      </c>
      <c r="BK61" s="23">
        <f t="shared" si="45"/>
        <v>-7.8813223059328674</v>
      </c>
      <c r="BL61">
        <f t="shared" si="46"/>
        <v>5.7028290890099314</v>
      </c>
      <c r="BM61" s="24">
        <f t="shared" si="47"/>
        <v>2.1651714199999996</v>
      </c>
      <c r="BN61" s="23">
        <f t="shared" si="48"/>
        <v>-7.897506049574452</v>
      </c>
      <c r="BO61">
        <f t="shared" si="49"/>
        <v>5.726772698632197</v>
      </c>
      <c r="BP61" s="24">
        <f t="shared" si="50"/>
        <v>2.1586314599999996</v>
      </c>
      <c r="BQ61" s="23">
        <f t="shared" si="51"/>
        <v>-7.9135328579862669</v>
      </c>
      <c r="BR61">
        <f t="shared" si="52"/>
        <v>5.7508216364908833</v>
      </c>
      <c r="BS61" s="24">
        <f t="shared" si="53"/>
        <v>2.1520914999999996</v>
      </c>
      <c r="BT61" s="23">
        <f t="shared" si="54"/>
        <v>-7.9294020456869028</v>
      </c>
      <c r="BU61">
        <f t="shared" si="55"/>
        <v>5.7749748739906881</v>
      </c>
      <c r="BV61" s="24">
        <f t="shared" si="56"/>
        <v>2.1455515399999996</v>
      </c>
      <c r="BW61" s="23">
        <f t="shared" si="57"/>
        <v>-7.9451129339365316</v>
      </c>
      <c r="BX61">
        <f t="shared" si="58"/>
        <v>5.7992313780753184</v>
      </c>
      <c r="BY61" s="24">
        <f t="shared" si="59"/>
        <v>2.1390115799999996</v>
      </c>
      <c r="BZ61" s="23">
        <f t="shared" si="60"/>
        <v>-7.9606648507659417</v>
      </c>
      <c r="CA61">
        <f t="shared" si="61"/>
        <v>5.8235901112716721</v>
      </c>
      <c r="CB61" s="24">
        <f t="shared" si="62"/>
        <v>2.1324716199999996</v>
      </c>
      <c r="CC61" s="23">
        <f t="shared" si="63"/>
        <v>-7.9760571310052732</v>
      </c>
      <c r="CD61">
        <f t="shared" si="64"/>
        <v>5.8480500317342141</v>
      </c>
      <c r="CE61" s="24">
        <f t="shared" si="65"/>
        <v>2.1259316599999996</v>
      </c>
      <c r="CF61" s="23">
        <f t="shared" si="66"/>
        <v>-7.9912891163124735</v>
      </c>
      <c r="CG61">
        <f t="shared" si="67"/>
        <v>5.8726100932895369</v>
      </c>
      <c r="CH61" s="24">
        <f t="shared" si="68"/>
        <v>2.1193916999999995</v>
      </c>
      <c r="CI61" s="23">
        <f t="shared" si="69"/>
        <v>-8.0063601552014507</v>
      </c>
      <c r="CJ61">
        <f t="shared" si="70"/>
        <v>5.8972692454811053</v>
      </c>
      <c r="CK61" s="24">
        <f t="shared" si="71"/>
        <v>2.1128517399999995</v>
      </c>
      <c r="CL61" s="23">
        <f t="shared" si="72"/>
        <v>-8.0212696030699409</v>
      </c>
      <c r="CM61">
        <f t="shared" si="73"/>
        <v>5.9220264336141861</v>
      </c>
      <c r="CN61" s="24">
        <f t="shared" si="74"/>
        <v>2.1063117799999995</v>
      </c>
      <c r="CO61" s="23">
        <f t="shared" si="75"/>
        <v>-8.0360168222270776</v>
      </c>
      <c r="CP61">
        <f t="shared" si="76"/>
        <v>5.9468805988009583</v>
      </c>
      <c r="CQ61" s="24">
        <f t="shared" si="77"/>
        <v>2.0997718199999995</v>
      </c>
      <c r="CR61" s="23">
        <f t="shared" si="78"/>
        <v>-8.0506011819206655</v>
      </c>
      <c r="CS61">
        <f t="shared" si="79"/>
        <v>5.9718306780058033</v>
      </c>
      <c r="CT61" s="24">
        <f t="shared" si="80"/>
        <v>2.0932318599999995</v>
      </c>
      <c r="CU61" s="23">
        <f t="shared" si="81"/>
        <v>-8.0650220583641588</v>
      </c>
      <c r="CV61">
        <f t="shared" si="82"/>
        <v>5.9968756040907705</v>
      </c>
      <c r="CW61" s="24">
        <f t="shared" si="83"/>
        <v>2.0866918999999995</v>
      </c>
      <c r="CY61" s="8">
        <f t="shared" si="129"/>
        <v>1.3683567629337632</v>
      </c>
      <c r="CZ61" s="8">
        <f t="shared" si="92"/>
        <v>1.3823593861743957</v>
      </c>
      <c r="DA61" s="8">
        <f t="shared" si="93"/>
        <v>1.3969821264481568</v>
      </c>
      <c r="DB61" s="8">
        <f t="shared" si="94"/>
        <v>1.4122051053588933</v>
      </c>
      <c r="DC61" s="8">
        <f t="shared" si="95"/>
        <v>1.4280084864728577</v>
      </c>
      <c r="DD61" s="8">
        <f t="shared" si="96"/>
        <v>1.444372554209598</v>
      </c>
      <c r="DE61" s="8">
        <f t="shared" si="97"/>
        <v>1.4612777843211393</v>
      </c>
      <c r="DF61" s="8">
        <f t="shared" si="98"/>
        <v>1.4787049060887392</v>
      </c>
      <c r="DG61" s="8">
        <f t="shared" si="99"/>
        <v>1.4966349564901293</v>
      </c>
      <c r="DH61" s="8">
        <f t="shared" si="100"/>
        <v>1.5150493266885432</v>
      </c>
      <c r="DI61" s="8">
        <f t="shared" si="101"/>
        <v>1.5339298012696212</v>
      </c>
      <c r="DJ61" s="8">
        <f t="shared" si="102"/>
        <v>1.5532585907055962</v>
      </c>
      <c r="DK61" s="8">
        <f t="shared" si="103"/>
        <v>1.5730183575604992</v>
      </c>
      <c r="DL61" s="8">
        <f t="shared" si="104"/>
        <v>1.5931922369680394</v>
      </c>
      <c r="DM61" s="8">
        <f t="shared" si="105"/>
        <v>1.6137638519180209</v>
      </c>
      <c r="DN61" s="8">
        <f t="shared" si="106"/>
        <v>1.6347173238801032</v>
      </c>
      <c r="DO61">
        <f t="shared" si="107"/>
        <v>1.6560372792777875</v>
      </c>
      <c r="DP61" s="8">
        <f t="shared" si="108"/>
        <v>1.6777088523028123</v>
      </c>
      <c r="DQ61">
        <f t="shared" si="109"/>
        <v>1.6997176845325592</v>
      </c>
      <c r="DR61" s="8">
        <f t="shared" si="110"/>
        <v>1.7220499217821816</v>
      </c>
      <c r="DS61">
        <f t="shared" si="111"/>
        <v>1.7446922085903469</v>
      </c>
      <c r="DT61" s="8">
        <f t="shared" si="112"/>
        <v>1.7676316807038326</v>
      </c>
      <c r="DU61">
        <f t="shared" si="113"/>
        <v>1.7908559558926038</v>
      </c>
      <c r="DV61" s="8">
        <f t="shared" si="114"/>
        <v>1.8143531233941648</v>
      </c>
      <c r="DW61">
        <f t="shared" si="115"/>
        <v>1.8381117322543643</v>
      </c>
      <c r="DX61" s="8">
        <f t="shared" si="116"/>
        <v>1.8621207788018872</v>
      </c>
      <c r="DY61">
        <f t="shared" si="117"/>
        <v>1.8863696934655991</v>
      </c>
      <c r="DZ61" s="8">
        <f t="shared" si="118"/>
        <v>1.9108483271178647</v>
      </c>
      <c r="EA61">
        <f t="shared" si="119"/>
        <v>1.9355469371030358</v>
      </c>
      <c r="EB61" s="8">
        <f t="shared" si="120"/>
        <v>1.9604561730884786</v>
      </c>
      <c r="EC61">
        <f t="shared" si="121"/>
        <v>1.3683567629337632</v>
      </c>
      <c r="ED61" s="8">
        <f t="shared" si="122"/>
        <v>1.9604561730884786</v>
      </c>
      <c r="EF61" s="23">
        <f t="shared" si="123"/>
        <v>0.45766538738270723</v>
      </c>
      <c r="EG61" s="8">
        <f t="shared" si="84"/>
        <v>2.4630421732807739</v>
      </c>
      <c r="EH61">
        <f t="shared" si="124"/>
        <v>0.91649999999999998</v>
      </c>
      <c r="EI61" s="8">
        <f t="shared" si="125"/>
        <v>3.8372075606634812</v>
      </c>
    </row>
    <row r="62" spans="7:139" x14ac:dyDescent="0.3">
      <c r="G62" s="10"/>
      <c r="H62" s="10"/>
      <c r="I62" s="6">
        <v>44</v>
      </c>
      <c r="J62" s="6">
        <f t="shared" si="85"/>
        <v>0.28899999999999998</v>
      </c>
      <c r="K62" s="6">
        <f t="shared" si="128"/>
        <v>-1.3039699999999974E-2</v>
      </c>
      <c r="L62" s="23">
        <f t="shared" si="130"/>
        <v>-7.5828838562952088</v>
      </c>
      <c r="M62">
        <f t="shared" si="87"/>
        <v>5.3128771563833581</v>
      </c>
      <c r="N62" s="24">
        <f t="shared" si="88"/>
        <v>2.2815867299999999</v>
      </c>
      <c r="O62" s="23">
        <f t="shared" si="89"/>
        <v>-7.601739169388428</v>
      </c>
      <c r="P62">
        <f t="shared" si="90"/>
        <v>5.3347789181425558</v>
      </c>
      <c r="Q62" s="24">
        <f t="shared" si="91"/>
        <v>2.28028276</v>
      </c>
      <c r="R62" s="23">
        <f t="shared" si="0"/>
        <v>-7.6205659072192615</v>
      </c>
      <c r="S62">
        <f t="shared" si="1"/>
        <v>5.3567052480372066</v>
      </c>
      <c r="T62" s="24">
        <f t="shared" si="2"/>
        <v>2.27897879</v>
      </c>
      <c r="U62" s="23">
        <f t="shared" si="3"/>
        <v>-7.6393640377759002</v>
      </c>
      <c r="V62">
        <f t="shared" si="4"/>
        <v>5.3786561087851492</v>
      </c>
      <c r="W62" s="24">
        <f t="shared" si="5"/>
        <v>2.2776748200000001</v>
      </c>
      <c r="X62" s="23">
        <f t="shared" si="6"/>
        <v>-7.6581335290951777</v>
      </c>
      <c r="Y62">
        <f t="shared" si="7"/>
        <v>5.4006314630625107</v>
      </c>
      <c r="Z62" s="24">
        <f t="shared" si="8"/>
        <v>2.2763708500000002</v>
      </c>
      <c r="AA62" s="23">
        <f t="shared" si="9"/>
        <v>-7.6768743492626239</v>
      </c>
      <c r="AB62">
        <f t="shared" si="10"/>
        <v>5.4226312735037725</v>
      </c>
      <c r="AC62" s="24">
        <f t="shared" si="11"/>
        <v>2.2750668800000002</v>
      </c>
      <c r="AD62" s="23">
        <f t="shared" si="12"/>
        <v>-7.6955864664125189</v>
      </c>
      <c r="AE62">
        <f t="shared" si="13"/>
        <v>5.4446555027018313</v>
      </c>
      <c r="AF62" s="24">
        <f t="shared" si="14"/>
        <v>2.2737629100000003</v>
      </c>
      <c r="AG62" s="23">
        <f t="shared" si="15"/>
        <v>-7.7142698487279473</v>
      </c>
      <c r="AH62">
        <f t="shared" si="16"/>
        <v>5.4667041132080634</v>
      </c>
      <c r="AI62" s="24">
        <f t="shared" si="17"/>
        <v>2.2724589400000004</v>
      </c>
      <c r="AJ62" s="23">
        <f t="shared" si="18"/>
        <v>-7.7329244644408535</v>
      </c>
      <c r="AK62">
        <f t="shared" si="19"/>
        <v>5.4887770675323893</v>
      </c>
      <c r="AL62" s="24">
        <f t="shared" si="20"/>
        <v>2.2711549700000004</v>
      </c>
      <c r="AM62" s="23">
        <f t="shared" si="21"/>
        <v>-7.7515502818320945</v>
      </c>
      <c r="AN62">
        <f t="shared" si="22"/>
        <v>5.5108743281433368</v>
      </c>
      <c r="AO62" s="24">
        <f t="shared" si="23"/>
        <v>2.2698510000000005</v>
      </c>
      <c r="AP62" s="23">
        <f t="shared" si="24"/>
        <v>-7.7701472692314946</v>
      </c>
      <c r="AQ62">
        <f t="shared" si="25"/>
        <v>5.5329958574681042</v>
      </c>
      <c r="AR62" s="24">
        <f t="shared" si="26"/>
        <v>2.2685470300000006</v>
      </c>
      <c r="AS62" s="23">
        <f t="shared" si="27"/>
        <v>-7.7887153950178982</v>
      </c>
      <c r="AT62">
        <f t="shared" si="28"/>
        <v>5.5551416178926258</v>
      </c>
      <c r="AU62" s="24">
        <f t="shared" si="29"/>
        <v>2.2672430600000006</v>
      </c>
      <c r="AV62" s="23">
        <f t="shared" si="30"/>
        <v>-7.8072546276192236</v>
      </c>
      <c r="AW62">
        <f t="shared" si="31"/>
        <v>5.5773115717616335</v>
      </c>
      <c r="AX62" s="24">
        <f t="shared" si="32"/>
        <v>2.2659390900000007</v>
      </c>
      <c r="AY62" s="23">
        <f t="shared" si="33"/>
        <v>-7.8257649355125185</v>
      </c>
      <c r="AZ62">
        <f t="shared" si="34"/>
        <v>5.5995056813787238</v>
      </c>
      <c r="BA62" s="24">
        <f t="shared" si="35"/>
        <v>2.2646351200000008</v>
      </c>
      <c r="BB62" s="23">
        <f t="shared" si="36"/>
        <v>-7.8442462872240117</v>
      </c>
      <c r="BC62">
        <f t="shared" si="37"/>
        <v>5.6217239090064188</v>
      </c>
      <c r="BD62" s="24">
        <f t="shared" si="38"/>
        <v>2.2633311500000008</v>
      </c>
      <c r="BE62" s="23">
        <f t="shared" si="39"/>
        <v>-7.8626986513291683</v>
      </c>
      <c r="BF62">
        <f t="shared" si="40"/>
        <v>5.6439662168662323</v>
      </c>
      <c r="BG62" s="24">
        <f t="shared" si="41"/>
        <v>2.2620271800000009</v>
      </c>
      <c r="BH62" s="23">
        <f t="shared" si="42"/>
        <v>-7.8811219964527401</v>
      </c>
      <c r="BI62">
        <f t="shared" si="43"/>
        <v>5.6662325671387341</v>
      </c>
      <c r="BJ62" s="24">
        <f t="shared" si="44"/>
        <v>2.260723210000001</v>
      </c>
      <c r="BK62" s="23">
        <f t="shared" si="45"/>
        <v>-7.8995162912688235</v>
      </c>
      <c r="BL62">
        <f t="shared" si="46"/>
        <v>5.6885229219636138</v>
      </c>
      <c r="BM62" s="24">
        <f t="shared" si="47"/>
        <v>2.2594192400000011</v>
      </c>
      <c r="BN62" s="23">
        <f t="shared" si="48"/>
        <v>-7.9178815045009072</v>
      </c>
      <c r="BO62">
        <f t="shared" si="49"/>
        <v>5.7108372434397436</v>
      </c>
      <c r="BP62" s="24">
        <f t="shared" si="50"/>
        <v>2.2581152700000011</v>
      </c>
      <c r="BQ62" s="23">
        <f t="shared" si="51"/>
        <v>-7.9362176049219313</v>
      </c>
      <c r="BR62">
        <f t="shared" si="52"/>
        <v>5.7331754936252466</v>
      </c>
      <c r="BS62" s="24">
        <f t="shared" si="53"/>
        <v>2.2568113000000012</v>
      </c>
      <c r="BT62" s="23">
        <f t="shared" si="54"/>
        <v>-7.9545245613543365</v>
      </c>
      <c r="BU62">
        <f t="shared" si="55"/>
        <v>5.7555376345375571</v>
      </c>
      <c r="BV62" s="24">
        <f t="shared" si="56"/>
        <v>2.2555073300000013</v>
      </c>
      <c r="BW62" s="23">
        <f t="shared" si="57"/>
        <v>-7.9728023426701169</v>
      </c>
      <c r="BX62">
        <f t="shared" si="58"/>
        <v>5.7779236281534878</v>
      </c>
      <c r="BY62" s="24">
        <f t="shared" si="59"/>
        <v>2.2542033600000013</v>
      </c>
      <c r="BZ62" s="23">
        <f t="shared" si="60"/>
        <v>-7.9910509177908757</v>
      </c>
      <c r="CA62">
        <f t="shared" si="61"/>
        <v>5.8003334364092947</v>
      </c>
      <c r="CB62" s="24">
        <f t="shared" si="62"/>
        <v>2.2528993900000014</v>
      </c>
      <c r="CC62" s="23">
        <f t="shared" si="63"/>
        <v>-8.0092702556878752</v>
      </c>
      <c r="CD62">
        <f t="shared" si="64"/>
        <v>5.8227670212007396</v>
      </c>
      <c r="CE62" s="24">
        <f t="shared" si="65"/>
        <v>2.2515954200000015</v>
      </c>
      <c r="CF62" s="23">
        <f t="shared" si="66"/>
        <v>-8.0274603253820924</v>
      </c>
      <c r="CG62">
        <f t="shared" si="67"/>
        <v>5.8452243443831566</v>
      </c>
      <c r="CH62" s="24">
        <f t="shared" si="68"/>
        <v>2.2502914500000015</v>
      </c>
      <c r="CI62" s="23">
        <f t="shared" si="69"/>
        <v>-8.04562109594427</v>
      </c>
      <c r="CJ62">
        <f t="shared" si="70"/>
        <v>5.8677053677715163</v>
      </c>
      <c r="CK62" s="24">
        <f t="shared" si="71"/>
        <v>2.2489874800000016</v>
      </c>
      <c r="CL62" s="23">
        <f t="shared" si="72"/>
        <v>-8.0637525364949667</v>
      </c>
      <c r="CM62">
        <f t="shared" si="73"/>
        <v>5.8902100531404908</v>
      </c>
      <c r="CN62" s="24">
        <f t="shared" si="74"/>
        <v>2.2476835100000017</v>
      </c>
      <c r="CO62" s="23">
        <f t="shared" si="75"/>
        <v>-8.0818546162046143</v>
      </c>
      <c r="CP62">
        <f t="shared" si="76"/>
        <v>5.9127383622245198</v>
      </c>
      <c r="CQ62" s="24">
        <f t="shared" si="77"/>
        <v>2.2463795400000017</v>
      </c>
      <c r="CR62" s="23">
        <f t="shared" si="78"/>
        <v>-8.0999273042935691</v>
      </c>
      <c r="CS62">
        <f t="shared" si="79"/>
        <v>5.9352902567178738</v>
      </c>
      <c r="CT62" s="24">
        <f t="shared" si="80"/>
        <v>2.2450755700000018</v>
      </c>
      <c r="CU62" s="23">
        <f t="shared" si="81"/>
        <v>-8.1179705700321598</v>
      </c>
      <c r="CV62">
        <f t="shared" si="82"/>
        <v>5.9578656982747207</v>
      </c>
      <c r="CW62" s="24">
        <f t="shared" si="83"/>
        <v>2.2437716000000019</v>
      </c>
      <c r="CY62" s="8">
        <f t="shared" si="129"/>
        <v>1.3683567629337632</v>
      </c>
      <c r="CZ62" s="8">
        <f t="shared" si="92"/>
        <v>1.3822274995049693</v>
      </c>
      <c r="DA62" s="8">
        <f t="shared" si="93"/>
        <v>1.3965911383405067</v>
      </c>
      <c r="DB62" s="8">
        <f t="shared" si="94"/>
        <v>1.4114326072150249</v>
      </c>
      <c r="DC62" s="8">
        <f t="shared" si="95"/>
        <v>1.4267369696554328</v>
      </c>
      <c r="DD62" s="8">
        <f t="shared" si="96"/>
        <v>1.4424894666686578</v>
      </c>
      <c r="DE62" s="8">
        <f t="shared" si="97"/>
        <v>1.4586755535293703</v>
      </c>
      <c r="DF62" s="8">
        <f t="shared" si="98"/>
        <v>1.475280931815635</v>
      </c>
      <c r="DG62" s="8">
        <f t="shared" si="99"/>
        <v>1.4922915769226501</v>
      </c>
      <c r="DH62" s="8">
        <f t="shared" si="100"/>
        <v>1.5096937613162056</v>
      </c>
      <c r="DI62" s="8">
        <f t="shared" si="101"/>
        <v>1.5274740738093224</v>
      </c>
      <c r="DJ62" s="8">
        <f t="shared" si="102"/>
        <v>1.5456194351588439</v>
      </c>
      <c r="DK62" s="8">
        <f t="shared" si="103"/>
        <v>1.5641171102847351</v>
      </c>
      <c r="DL62" s="8">
        <f t="shared" si="104"/>
        <v>1.5829547174147118</v>
      </c>
      <c r="DM62" s="8">
        <f t="shared" si="105"/>
        <v>1.6021202344515779</v>
      </c>
      <c r="DN62" s="8">
        <f t="shared" si="106"/>
        <v>1.6216020028514389</v>
      </c>
      <c r="DO62">
        <f t="shared" si="107"/>
        <v>1.6413887292886089</v>
      </c>
      <c r="DP62" s="8">
        <f t="shared" si="108"/>
        <v>1.6614694853684129</v>
      </c>
      <c r="DQ62">
        <f t="shared" si="109"/>
        <v>1.6818337056329049</v>
      </c>
      <c r="DR62" s="8">
        <f t="shared" si="110"/>
        <v>1.7024711840873819</v>
      </c>
      <c r="DS62">
        <f t="shared" si="111"/>
        <v>1.7233720694579477</v>
      </c>
      <c r="DT62" s="8">
        <f t="shared" si="112"/>
        <v>1.7445268593727663</v>
      </c>
      <c r="DU62">
        <f t="shared" si="113"/>
        <v>1.7659263936422438</v>
      </c>
      <c r="DV62" s="8">
        <f t="shared" si="114"/>
        <v>1.7875618467965759</v>
      </c>
      <c r="DW62">
        <f t="shared" si="115"/>
        <v>1.8094247200229834</v>
      </c>
      <c r="DX62" s="8">
        <f t="shared" si="116"/>
        <v>1.8315068326297268</v>
      </c>
      <c r="DY62">
        <f t="shared" si="117"/>
        <v>1.8538003131497014</v>
      </c>
      <c r="DZ62" s="8">
        <f t="shared" si="118"/>
        <v>1.8762975901831365</v>
      </c>
      <c r="EA62">
        <f t="shared" si="119"/>
        <v>1.8989913830666569</v>
      </c>
      <c r="EB62" s="8">
        <f t="shared" si="120"/>
        <v>1.9218746924447383</v>
      </c>
      <c r="EC62">
        <f t="shared" si="121"/>
        <v>1.3683567629337632</v>
      </c>
      <c r="ED62" s="8">
        <f t="shared" si="122"/>
        <v>1.9218746924447383</v>
      </c>
      <c r="EF62" s="23">
        <f t="shared" si="123"/>
        <v>0.29876420183332142</v>
      </c>
      <c r="EG62" s="8">
        <f t="shared" si="84"/>
        <v>2.4630421732807739</v>
      </c>
      <c r="EH62">
        <f t="shared" si="124"/>
        <v>0.91649999999999998</v>
      </c>
      <c r="EI62" s="8">
        <f t="shared" si="125"/>
        <v>3.6783063751140954</v>
      </c>
    </row>
    <row r="63" spans="7:139" x14ac:dyDescent="0.3">
      <c r="G63" s="10"/>
      <c r="H63" s="10"/>
      <c r="I63" s="6">
        <v>45</v>
      </c>
      <c r="J63" s="6">
        <f t="shared" si="85"/>
        <v>0.28899999999999998</v>
      </c>
      <c r="K63" s="6">
        <f t="shared" si="128"/>
        <v>3.9320200000000027E-2</v>
      </c>
      <c r="L63" s="23">
        <f t="shared" si="130"/>
        <v>-7.5828838562952088</v>
      </c>
      <c r="M63">
        <f t="shared" si="87"/>
        <v>5.3128771563833581</v>
      </c>
      <c r="N63" s="24">
        <f t="shared" si="88"/>
        <v>2.28682272</v>
      </c>
      <c r="O63" s="23">
        <f t="shared" si="89"/>
        <v>-7.6018535878058033</v>
      </c>
      <c r="P63">
        <f t="shared" si="90"/>
        <v>5.33467989213867</v>
      </c>
      <c r="Q63" s="24">
        <f t="shared" si="91"/>
        <v>2.2907547400000001</v>
      </c>
      <c r="R63" s="23">
        <f t="shared" si="0"/>
        <v>-7.6209089012452909</v>
      </c>
      <c r="S63">
        <f t="shared" si="1"/>
        <v>5.3564078701790425</v>
      </c>
      <c r="T63" s="24">
        <f t="shared" si="2"/>
        <v>2.2946867600000003</v>
      </c>
      <c r="U63" s="23">
        <f t="shared" si="3"/>
        <v>-7.6400495020040173</v>
      </c>
      <c r="V63">
        <f t="shared" si="4"/>
        <v>5.3780607545733909</v>
      </c>
      <c r="W63" s="24">
        <f t="shared" si="5"/>
        <v>2.2986187800000004</v>
      </c>
      <c r="X63" s="23">
        <f t="shared" si="6"/>
        <v>-7.6592750941537231</v>
      </c>
      <c r="Y63">
        <f t="shared" si="7"/>
        <v>5.3996382105516378</v>
      </c>
      <c r="Z63" s="24">
        <f t="shared" si="8"/>
        <v>2.3025508000000006</v>
      </c>
      <c r="AA63" s="23">
        <f t="shared" si="9"/>
        <v>-7.6785853804521151</v>
      </c>
      <c r="AB63">
        <f t="shared" si="10"/>
        <v>5.4211399045098858</v>
      </c>
      <c r="AC63" s="24">
        <f t="shared" si="11"/>
        <v>2.3064828200000007</v>
      </c>
      <c r="AD63" s="23">
        <f t="shared" si="12"/>
        <v>-7.6979800623474652</v>
      </c>
      <c r="AE63">
        <f t="shared" si="13"/>
        <v>5.4425655040155752</v>
      </c>
      <c r="AF63" s="24">
        <f t="shared" si="14"/>
        <v>2.3104148400000009</v>
      </c>
      <c r="AG63" s="23">
        <f t="shared" si="15"/>
        <v>-7.7174588399832249</v>
      </c>
      <c r="AH63">
        <f t="shared" si="16"/>
        <v>5.4639146778126246</v>
      </c>
      <c r="AI63" s="24">
        <f t="shared" si="17"/>
        <v>2.314346860000001</v>
      </c>
      <c r="AJ63" s="23">
        <f t="shared" si="18"/>
        <v>-7.7370214122026617</v>
      </c>
      <c r="AK63">
        <f t="shared" si="19"/>
        <v>5.4851870958265536</v>
      </c>
      <c r="AL63" s="24">
        <f t="shared" si="20"/>
        <v>2.3182788800000012</v>
      </c>
      <c r="AM63" s="23">
        <f t="shared" si="21"/>
        <v>-7.7566674765535151</v>
      </c>
      <c r="AN63">
        <f t="shared" si="22"/>
        <v>5.5063824291695829</v>
      </c>
      <c r="AO63" s="24">
        <f t="shared" si="23"/>
        <v>2.3222109000000013</v>
      </c>
      <c r="AP63" s="23">
        <f t="shared" si="24"/>
        <v>-7.7763967292926726</v>
      </c>
      <c r="AQ63">
        <f t="shared" si="25"/>
        <v>5.5275003501457221</v>
      </c>
      <c r="AR63" s="24">
        <f t="shared" si="26"/>
        <v>2.3261429200000014</v>
      </c>
      <c r="AS63" s="23">
        <f t="shared" si="27"/>
        <v>-7.7962088653908657</v>
      </c>
      <c r="AT63">
        <f t="shared" si="28"/>
        <v>5.5485405322558341</v>
      </c>
      <c r="AU63" s="24">
        <f t="shared" si="29"/>
        <v>2.3300749400000016</v>
      </c>
      <c r="AV63" s="23">
        <f t="shared" si="30"/>
        <v>-7.8161035785373851</v>
      </c>
      <c r="AW63">
        <f t="shared" si="31"/>
        <v>5.5695026502026854</v>
      </c>
      <c r="AX63" s="24">
        <f t="shared" si="32"/>
        <v>2.3340069600000017</v>
      </c>
      <c r="AY63" s="23">
        <f t="shared" si="33"/>
        <v>-7.8360805611448194</v>
      </c>
      <c r="AZ63">
        <f t="shared" si="34"/>
        <v>5.5903863798959721</v>
      </c>
      <c r="BA63" s="24">
        <f t="shared" si="35"/>
        <v>2.3379389800000019</v>
      </c>
      <c r="BB63" s="23">
        <f t="shared" si="36"/>
        <v>-7.8561395043538083</v>
      </c>
      <c r="BC63">
        <f t="shared" si="37"/>
        <v>5.6111913984573327</v>
      </c>
      <c r="BD63" s="24">
        <f t="shared" si="38"/>
        <v>2.341871000000002</v>
      </c>
      <c r="BE63" s="23">
        <f t="shared" si="39"/>
        <v>-7.8762800980378174</v>
      </c>
      <c r="BF63">
        <f t="shared" si="40"/>
        <v>5.6319173842253409</v>
      </c>
      <c r="BG63" s="24">
        <f t="shared" si="41"/>
        <v>2.3458030200000022</v>
      </c>
      <c r="BH63" s="23">
        <f t="shared" si="42"/>
        <v>-7.8965020308079339</v>
      </c>
      <c r="BI63">
        <f t="shared" si="43"/>
        <v>5.6525640167604765</v>
      </c>
      <c r="BJ63" s="24">
        <f t="shared" si="44"/>
        <v>2.3497350400000023</v>
      </c>
      <c r="BK63" s="23">
        <f t="shared" si="45"/>
        <v>-7.9168049900176802</v>
      </c>
      <c r="BL63">
        <f t="shared" si="46"/>
        <v>5.6731309768500804</v>
      </c>
      <c r="BM63" s="24">
        <f t="shared" si="47"/>
        <v>2.3536670600000025</v>
      </c>
      <c r="BN63" s="23">
        <f t="shared" si="48"/>
        <v>-7.9371886617678502</v>
      </c>
      <c r="BO63">
        <f t="shared" si="49"/>
        <v>5.6936179465132915</v>
      </c>
      <c r="BP63" s="24">
        <f t="shared" si="50"/>
        <v>2.3575990800000026</v>
      </c>
      <c r="BQ63" s="23">
        <f t="shared" si="51"/>
        <v>-7.9576527309113585</v>
      </c>
      <c r="BR63">
        <f t="shared" si="52"/>
        <v>5.7140246090059605</v>
      </c>
      <c r="BS63" s="24">
        <f t="shared" si="53"/>
        <v>2.3615311000000028</v>
      </c>
      <c r="BT63" s="23">
        <f t="shared" si="54"/>
        <v>-7.9781968810581159</v>
      </c>
      <c r="BU63">
        <f t="shared" si="55"/>
        <v>5.734350648825548</v>
      </c>
      <c r="BV63" s="24">
        <f t="shared" si="56"/>
        <v>2.3654631200000029</v>
      </c>
      <c r="BW63" s="23">
        <f t="shared" si="57"/>
        <v>-7.9988207945799203</v>
      </c>
      <c r="BX63">
        <f t="shared" si="58"/>
        <v>5.7545957517160042</v>
      </c>
      <c r="BY63" s="24">
        <f t="shared" si="59"/>
        <v>2.3693951400000031</v>
      </c>
      <c r="BZ63" s="23">
        <f t="shared" si="60"/>
        <v>-8.0195241526153662</v>
      </c>
      <c r="CA63">
        <f t="shared" si="61"/>
        <v>5.7747596046726235</v>
      </c>
      <c r="CB63" s="24">
        <f t="shared" si="62"/>
        <v>2.3733271600000032</v>
      </c>
      <c r="CC63" s="23">
        <f t="shared" si="63"/>
        <v>-8.0403066350747743</v>
      </c>
      <c r="CD63">
        <f t="shared" si="64"/>
        <v>5.7948418959468873</v>
      </c>
      <c r="CE63" s="24">
        <f t="shared" si="65"/>
        <v>2.3772591800000034</v>
      </c>
      <c r="CF63" s="23">
        <f t="shared" si="66"/>
        <v>-8.0611679206451434</v>
      </c>
      <c r="CG63">
        <f t="shared" si="67"/>
        <v>5.8148423150512834</v>
      </c>
      <c r="CH63" s="24">
        <f t="shared" si="68"/>
        <v>2.3811912000000035</v>
      </c>
      <c r="CI63" s="23">
        <f t="shared" si="69"/>
        <v>-8.0821076867951174</v>
      </c>
      <c r="CJ63">
        <f t="shared" si="70"/>
        <v>5.834760552764104</v>
      </c>
      <c r="CK63" s="24">
        <f t="shared" si="71"/>
        <v>2.3851232200000037</v>
      </c>
      <c r="CL63" s="23">
        <f t="shared" si="72"/>
        <v>-8.1031256097799673</v>
      </c>
      <c r="CM63">
        <f t="shared" si="73"/>
        <v>5.8545963011342295</v>
      </c>
      <c r="CN63" s="24">
        <f t="shared" si="74"/>
        <v>2.3890552400000038</v>
      </c>
      <c r="CO63" s="23">
        <f t="shared" si="75"/>
        <v>-8.1242213646466013</v>
      </c>
      <c r="CP63">
        <f t="shared" si="76"/>
        <v>5.8743492534858879</v>
      </c>
      <c r="CQ63" s="24">
        <f t="shared" si="77"/>
        <v>2.3929872600000039</v>
      </c>
      <c r="CR63" s="23">
        <f t="shared" si="78"/>
        <v>-8.1453946252385876</v>
      </c>
      <c r="CS63">
        <f t="shared" si="79"/>
        <v>5.8940191044233963</v>
      </c>
      <c r="CT63" s="24">
        <f t="shared" si="80"/>
        <v>2.3969192800000041</v>
      </c>
      <c r="CU63" s="23">
        <f t="shared" si="81"/>
        <v>-8.1666450642011981</v>
      </c>
      <c r="CV63">
        <f t="shared" si="82"/>
        <v>5.9136055498358839</v>
      </c>
      <c r="CW63" s="24">
        <f t="shared" si="83"/>
        <v>2.4008513000000042</v>
      </c>
      <c r="CY63" s="8">
        <f t="shared" si="129"/>
        <v>1.3683567629337632</v>
      </c>
      <c r="CZ63" s="8">
        <f t="shared" si="92"/>
        <v>1.3820952301322362</v>
      </c>
      <c r="DA63" s="8">
        <f t="shared" si="93"/>
        <v>1.3961981888856023</v>
      </c>
      <c r="DB63" s="8">
        <f t="shared" si="94"/>
        <v>1.4106544925530304</v>
      </c>
      <c r="DC63" s="8">
        <f t="shared" si="95"/>
        <v>1.4254531707303517</v>
      </c>
      <c r="DD63" s="8">
        <f t="shared" si="96"/>
        <v>1.4405834469078189</v>
      </c>
      <c r="DE63" s="8">
        <f t="shared" si="97"/>
        <v>1.4560347535685889</v>
      </c>
      <c r="DF63" s="8">
        <f t="shared" si="98"/>
        <v>1.4717967448867637</v>
      </c>
      <c r="DG63" s="8">
        <f t="shared" si="99"/>
        <v>1.4878593071906248</v>
      </c>
      <c r="DH63" s="8">
        <f t="shared" si="100"/>
        <v>1.5042125673599736</v>
      </c>
      <c r="DI63" s="8">
        <f t="shared" si="101"/>
        <v>1.5208468993268076</v>
      </c>
      <c r="DJ63" s="8">
        <f t="shared" si="102"/>
        <v>1.5377529288463478</v>
      </c>
      <c r="DK63" s="8">
        <f t="shared" si="103"/>
        <v>1.554921536701213</v>
      </c>
      <c r="DL63" s="8">
        <f t="shared" si="104"/>
        <v>1.5723438604956776</v>
      </c>
      <c r="DM63" s="8">
        <f t="shared" si="105"/>
        <v>1.5900112951898817</v>
      </c>
      <c r="DN63" s="8">
        <f t="shared" si="106"/>
        <v>1.6079154925158587</v>
      </c>
      <c r="DO63">
        <f t="shared" si="107"/>
        <v>1.6260483594086632</v>
      </c>
      <c r="DP63" s="8">
        <f t="shared" si="108"/>
        <v>1.6444020555769214</v>
      </c>
      <c r="DQ63">
        <f t="shared" si="109"/>
        <v>1.6629689903280169</v>
      </c>
      <c r="DR63" s="8">
        <f t="shared" si="110"/>
        <v>1.6817418187540245</v>
      </c>
      <c r="DS63">
        <f t="shared" si="111"/>
        <v>1.7007134373755739</v>
      </c>
      <c r="DT63" s="8">
        <f t="shared" si="112"/>
        <v>1.7198769793321562</v>
      </c>
      <c r="DU63">
        <f t="shared" si="113"/>
        <v>1.7392258091990416</v>
      </c>
      <c r="DV63" s="8">
        <f t="shared" si="114"/>
        <v>1.758753517503086</v>
      </c>
      <c r="DW63">
        <f t="shared" si="115"/>
        <v>1.7784539150022105</v>
      </c>
      <c r="DX63" s="8">
        <f t="shared" si="116"/>
        <v>1.7983210267863554</v>
      </c>
      <c r="DY63">
        <f t="shared" si="117"/>
        <v>1.8183490862512075</v>
      </c>
      <c r="DZ63" s="8">
        <f t="shared" si="118"/>
        <v>1.8385325289899666</v>
      </c>
      <c r="EA63">
        <f t="shared" si="119"/>
        <v>1.8588659866428929</v>
      </c>
      <c r="EB63" s="8">
        <f t="shared" si="120"/>
        <v>1.8793442807393088</v>
      </c>
      <c r="EC63">
        <f t="shared" si="121"/>
        <v>1.3683567629337632</v>
      </c>
      <c r="ED63" s="8">
        <f t="shared" si="122"/>
        <v>1.8793442807393088</v>
      </c>
      <c r="EF63" s="23">
        <f t="shared" si="123"/>
        <v>0.13980445812474862</v>
      </c>
      <c r="EG63" s="8">
        <f t="shared" si="84"/>
        <v>2.4630421732807739</v>
      </c>
      <c r="EH63">
        <f t="shared" si="124"/>
        <v>0.91649999999999998</v>
      </c>
      <c r="EI63" s="8">
        <f t="shared" si="125"/>
        <v>3.5193466314055226</v>
      </c>
    </row>
    <row r="64" spans="7:139" s="16" customFormat="1" x14ac:dyDescent="0.3">
      <c r="G64" s="26"/>
      <c r="H64" s="26"/>
      <c r="I64" s="27">
        <v>46</v>
      </c>
      <c r="J64" s="27">
        <f t="shared" si="85"/>
        <v>0.28899999999999998</v>
      </c>
      <c r="K64" s="27">
        <f t="shared" si="128"/>
        <v>9.1680100000000028E-2</v>
      </c>
      <c r="L64" s="28">
        <f t="shared" si="130"/>
        <v>-7.5828838562952088</v>
      </c>
      <c r="M64" s="16">
        <f t="shared" si="87"/>
        <v>5.3128771563833581</v>
      </c>
      <c r="N64" s="29">
        <f t="shared" si="88"/>
        <v>2.2920587099999996</v>
      </c>
      <c r="O64" s="28">
        <f t="shared" si="89"/>
        <v>-7.6019674861579603</v>
      </c>
      <c r="P64" s="16">
        <f t="shared" si="90"/>
        <v>5.3345802684012584</v>
      </c>
      <c r="Q64" s="29">
        <f t="shared" si="91"/>
        <v>2.3012267199999994</v>
      </c>
      <c r="R64" s="28">
        <f t="shared" si="0"/>
        <v>-7.6212492855744571</v>
      </c>
      <c r="S64" s="16">
        <f t="shared" si="1"/>
        <v>5.3561075118676653</v>
      </c>
      <c r="T64" s="29">
        <f t="shared" si="2"/>
        <v>2.3103947299999992</v>
      </c>
      <c r="U64" s="28">
        <f t="shared" si="3"/>
        <v>-7.640727633874393</v>
      </c>
      <c r="V64" s="16">
        <f t="shared" si="4"/>
        <v>5.3774570773786161</v>
      </c>
      <c r="W64" s="29">
        <f t="shared" si="5"/>
        <v>2.319562739999999</v>
      </c>
      <c r="X64" s="28">
        <f t="shared" si="6"/>
        <v>-7.6604008938671697</v>
      </c>
      <c r="Y64" s="16">
        <f t="shared" si="7"/>
        <v>5.3986271704643025</v>
      </c>
      <c r="Z64" s="29">
        <f t="shared" si="8"/>
        <v>2.3287307499999987</v>
      </c>
      <c r="AA64" s="28">
        <f t="shared" si="9"/>
        <v>-7.6802674119795054</v>
      </c>
      <c r="AB64" s="16">
        <f t="shared" si="10"/>
        <v>5.4196160117399002</v>
      </c>
      <c r="AC64" s="29">
        <f t="shared" si="11"/>
        <v>2.3378987599999985</v>
      </c>
      <c r="AD64" s="28">
        <f t="shared" si="12"/>
        <v>-7.7003255183944237</v>
      </c>
      <c r="AE64" s="16">
        <f t="shared" si="13"/>
        <v>5.4404218370551289</v>
      </c>
      <c r="AF64" s="29">
        <f t="shared" si="14"/>
        <v>2.3470667699999983</v>
      </c>
      <c r="AG64" s="28">
        <f t="shared" si="15"/>
        <v>-7.7205735271916023</v>
      </c>
      <c r="AH64" s="16">
        <f t="shared" si="16"/>
        <v>5.4610428976425327</v>
      </c>
      <c r="AI64" s="29">
        <f t="shared" si="17"/>
        <v>2.3562347799999981</v>
      </c>
      <c r="AJ64" s="28">
        <f t="shared" si="18"/>
        <v>-7.7410097364890778</v>
      </c>
      <c r="AK64" s="16">
        <f t="shared" si="19"/>
        <v>5.4814774602644674</v>
      </c>
      <c r="AL64" s="29">
        <f t="shared" si="20"/>
        <v>2.3654027899999979</v>
      </c>
      <c r="AM64" s="28">
        <f t="shared" si="21"/>
        <v>-7.7616324285862923</v>
      </c>
      <c r="AN64" s="16">
        <f t="shared" si="22"/>
        <v>5.5017238073587817</v>
      </c>
      <c r="AO64" s="29">
        <f t="shared" si="23"/>
        <v>2.3745707999999977</v>
      </c>
      <c r="AP64" s="28">
        <f t="shared" si="24"/>
        <v>-7.7824398701084707</v>
      </c>
      <c r="AQ64" s="16">
        <f t="shared" si="25"/>
        <v>5.5217802371831821</v>
      </c>
      <c r="AR64" s="29">
        <f t="shared" si="26"/>
        <v>2.3837388099999974</v>
      </c>
      <c r="AS64" s="28">
        <f t="shared" si="27"/>
        <v>-7.8034303121523125</v>
      </c>
      <c r="AT64" s="16">
        <f t="shared" si="28"/>
        <v>5.5416450639582671</v>
      </c>
      <c r="AU64" s="29">
        <f t="shared" si="29"/>
        <v>2.3929068199999972</v>
      </c>
      <c r="AV64" s="28">
        <f t="shared" si="30"/>
        <v>-7.8246019904329893</v>
      </c>
      <c r="AW64" s="16">
        <f t="shared" si="31"/>
        <v>5.5613166180092186</v>
      </c>
      <c r="AX64" s="29">
        <f t="shared" si="32"/>
        <v>2.402074829999997</v>
      </c>
      <c r="AY64" s="28">
        <f t="shared" si="33"/>
        <v>-7.8459531254324393</v>
      </c>
      <c r="AZ64" s="16">
        <f t="shared" si="34"/>
        <v>5.5807932459061433</v>
      </c>
      <c r="BA64" s="29">
        <f t="shared" si="35"/>
        <v>2.4112428399999968</v>
      </c>
      <c r="BB64" s="28">
        <f t="shared" si="36"/>
        <v>-7.8674819225489347</v>
      </c>
      <c r="BC64" s="16">
        <f t="shared" si="37"/>
        <v>5.6000733106030465</v>
      </c>
      <c r="BD64" s="29">
        <f t="shared" si="38"/>
        <v>2.4204108499999966</v>
      </c>
      <c r="BE64" s="28">
        <f t="shared" si="39"/>
        <v>-7.889186572247926</v>
      </c>
      <c r="BF64" s="16">
        <f t="shared" si="40"/>
        <v>5.6191551915754268</v>
      </c>
      <c r="BG64" s="29">
        <f t="shared" si="41"/>
        <v>2.4295788599999963</v>
      </c>
      <c r="BH64" s="28">
        <f t="shared" si="42"/>
        <v>-7.9110652502141328</v>
      </c>
      <c r="BI64" s="16">
        <f t="shared" si="43"/>
        <v>5.6380372849564848</v>
      </c>
      <c r="BJ64" s="29">
        <f t="shared" si="44"/>
        <v>2.4387468699999961</v>
      </c>
      <c r="BK64" s="28">
        <f t="shared" si="45"/>
        <v>-7.9331161175048832</v>
      </c>
      <c r="BL64" s="16">
        <f t="shared" si="46"/>
        <v>5.6567180036719336</v>
      </c>
      <c r="BM64" s="29">
        <f t="shared" si="47"/>
        <v>2.4479148799999959</v>
      </c>
      <c r="BN64" s="28">
        <f t="shared" si="48"/>
        <v>-7.9553373207046789</v>
      </c>
      <c r="BO64" s="16">
        <f t="shared" si="49"/>
        <v>5.675195777573391</v>
      </c>
      <c r="BP64" s="29">
        <f t="shared" si="50"/>
        <v>2.4570828899999957</v>
      </c>
      <c r="BQ64" s="28">
        <f t="shared" si="51"/>
        <v>-7.9777269920809788</v>
      </c>
      <c r="BR64" s="16">
        <f t="shared" si="52"/>
        <v>5.6934690535703574</v>
      </c>
      <c r="BS64" s="29">
        <f t="shared" si="53"/>
        <v>2.4662508999999955</v>
      </c>
      <c r="BT64" s="28">
        <f t="shared" si="54"/>
        <v>-8.0002832497411855</v>
      </c>
      <c r="BU64" s="16">
        <f t="shared" si="55"/>
        <v>5.7115362957607516</v>
      </c>
      <c r="BV64" s="29">
        <f t="shared" si="56"/>
        <v>2.4754189099999953</v>
      </c>
      <c r="BW64" s="28">
        <f t="shared" si="57"/>
        <v>-8.0230041977908204</v>
      </c>
      <c r="BX64" s="16">
        <f t="shared" si="58"/>
        <v>5.7293959855600107</v>
      </c>
      <c r="BY64" s="29">
        <f t="shared" si="59"/>
        <v>2.484586919999995</v>
      </c>
      <c r="BZ64" s="28">
        <f t="shared" si="60"/>
        <v>-8.0458879264928793</v>
      </c>
      <c r="CA64" s="16">
        <f t="shared" si="61"/>
        <v>5.7470466218287273</v>
      </c>
      <c r="CB64" s="29">
        <f t="shared" si="62"/>
        <v>2.4937549299999948</v>
      </c>
      <c r="CC64" s="28">
        <f t="shared" si="63"/>
        <v>-8.0689325124283489</v>
      </c>
      <c r="CD64" s="16">
        <f t="shared" si="64"/>
        <v>5.7644867209988231</v>
      </c>
      <c r="CE64" s="29">
        <f t="shared" si="65"/>
        <v>2.5029229399999946</v>
      </c>
      <c r="CF64" s="28">
        <f t="shared" si="66"/>
        <v>-8.0921360186578717</v>
      </c>
      <c r="CG64" s="16">
        <f t="shared" si="67"/>
        <v>5.7817148171982451</v>
      </c>
      <c r="CH64" s="29">
        <f t="shared" si="68"/>
        <v>2.5120909499999944</v>
      </c>
      <c r="CI64" s="28">
        <f t="shared" si="69"/>
        <v>-8.1154964948845496</v>
      </c>
      <c r="CJ64" s="16">
        <f t="shared" si="70"/>
        <v>5.7987294623741761</v>
      </c>
      <c r="CK64" s="29">
        <f t="shared" si="71"/>
        <v>2.5212589599999942</v>
      </c>
      <c r="CL64" s="28">
        <f t="shared" si="72"/>
        <v>-8.1390119776178711</v>
      </c>
      <c r="CM64" s="16">
        <f t="shared" si="73"/>
        <v>5.8155292264147462</v>
      </c>
      <c r="CN64" s="29">
        <f t="shared" si="74"/>
        <v>2.5304269699999939</v>
      </c>
      <c r="CO64" s="28">
        <f t="shared" si="75"/>
        <v>-8.1626804903387473</v>
      </c>
      <c r="CP64" s="16">
        <f t="shared" si="76"/>
        <v>5.8321126972692356</v>
      </c>
      <c r="CQ64" s="29">
        <f t="shared" si="77"/>
        <v>2.5395949799999937</v>
      </c>
      <c r="CR64" s="28">
        <f t="shared" si="78"/>
        <v>-8.1865000436656405</v>
      </c>
      <c r="CS64" s="16">
        <f t="shared" si="79"/>
        <v>5.8484784810667598</v>
      </c>
      <c r="CT64" s="29">
        <f t="shared" si="80"/>
        <v>2.5487629899999935</v>
      </c>
      <c r="CU64" s="28">
        <f t="shared" si="81"/>
        <v>-8.2104686355217744</v>
      </c>
      <c r="CV64" s="16">
        <f t="shared" si="82"/>
        <v>5.8646252022334266</v>
      </c>
      <c r="CW64" s="29">
        <f t="shared" si="83"/>
        <v>2.5579309999999933</v>
      </c>
      <c r="CY64" s="30">
        <f t="shared" si="129"/>
        <v>1.3683567629337632</v>
      </c>
      <c r="CZ64" s="30">
        <f t="shared" si="92"/>
        <v>1.3819625815730667</v>
      </c>
      <c r="DA64" s="30">
        <f t="shared" si="93"/>
        <v>1.395803308763965</v>
      </c>
      <c r="DB64" s="30">
        <f t="shared" si="94"/>
        <v>1.4098708802050468</v>
      </c>
      <c r="DC64" s="30">
        <f t="shared" si="95"/>
        <v>1.4241574090339073</v>
      </c>
      <c r="DD64" s="30">
        <f t="shared" si="96"/>
        <v>1.4386551894733421</v>
      </c>
      <c r="DE64" s="30">
        <f t="shared" si="97"/>
        <v>1.4533566994391551</v>
      </c>
      <c r="DF64" s="30">
        <f t="shared" si="98"/>
        <v>1.4682546022056926</v>
      </c>
      <c r="DG64" s="30">
        <f t="shared" si="99"/>
        <v>1.4833417472213484</v>
      </c>
      <c r="DH64" s="30">
        <f t="shared" si="100"/>
        <v>1.4986111701618825</v>
      </c>
      <c r="DI64" s="30">
        <f t="shared" si="101"/>
        <v>1.5140560923046364</v>
      </c>
      <c r="DJ64" s="30">
        <f t="shared" si="102"/>
        <v>1.529669919301692</v>
      </c>
      <c r="DK64" s="30">
        <f t="shared" si="103"/>
        <v>1.5454462394248958</v>
      </c>
      <c r="DL64" s="30">
        <f t="shared" si="104"/>
        <v>1.5613788213504598</v>
      </c>
      <c r="DM64" s="30">
        <f t="shared" si="105"/>
        <v>1.5774616115457363</v>
      </c>
      <c r="DN64" s="30">
        <f t="shared" si="106"/>
        <v>1.5936887313156927</v>
      </c>
      <c r="DO64" s="16">
        <f t="shared" si="107"/>
        <v>1.6100544735617559</v>
      </c>
      <c r="DP64" s="30">
        <f t="shared" si="108"/>
        <v>1.6265532993009977</v>
      </c>
      <c r="DQ64" s="16">
        <f t="shared" si="109"/>
        <v>1.6431798339891421</v>
      </c>
      <c r="DR64" s="30">
        <f t="shared" si="110"/>
        <v>1.6599288636866878</v>
      </c>
      <c r="DS64" s="16">
        <f t="shared" si="111"/>
        <v>1.6767953311034163</v>
      </c>
      <c r="DT64" s="30">
        <f t="shared" si="112"/>
        <v>1.6937743315528835</v>
      </c>
      <c r="DU64" s="16">
        <f t="shared" si="113"/>
        <v>1.7108611088449992</v>
      </c>
      <c r="DV64" s="30">
        <f t="shared" si="114"/>
        <v>1.7280510511416276</v>
      </c>
      <c r="DW64" s="16">
        <f t="shared" si="115"/>
        <v>1.7453396867971773</v>
      </c>
      <c r="DX64" s="30">
        <f t="shared" si="116"/>
        <v>1.7627226802034608</v>
      </c>
      <c r="DY64" s="16">
        <f t="shared" si="117"/>
        <v>1.7801958276556158</v>
      </c>
      <c r="DZ64" s="30">
        <f t="shared" si="118"/>
        <v>1.7977550532536437</v>
      </c>
      <c r="EA64" s="16">
        <f t="shared" si="119"/>
        <v>1.8153964048520741</v>
      </c>
      <c r="EB64" s="30">
        <f t="shared" si="120"/>
        <v>1.8331160500684207</v>
      </c>
      <c r="EC64" s="16">
        <f t="shared" si="121"/>
        <v>1.3683567629337632</v>
      </c>
      <c r="ED64" s="30">
        <f t="shared" si="122"/>
        <v>1.8331160500684207</v>
      </c>
      <c r="EF64" s="28">
        <f t="shared" si="123"/>
        <v>1.9190392335455275E-2</v>
      </c>
      <c r="EG64" s="30">
        <f t="shared" si="84"/>
        <v>2.4630421732807739</v>
      </c>
      <c r="EH64" s="16">
        <f t="shared" si="124"/>
        <v>0.91649999999999998</v>
      </c>
      <c r="EI64" s="30">
        <f>SUM(EF64:EH64)</f>
        <v>3.3987325656162293</v>
      </c>
    </row>
    <row r="65" spans="7:139" x14ac:dyDescent="0.3">
      <c r="G65" s="10"/>
      <c r="H65" s="10"/>
      <c r="I65" s="6">
        <v>47</v>
      </c>
      <c r="J65" s="6">
        <f t="shared" si="85"/>
        <v>0.28899999999999998</v>
      </c>
      <c r="K65" s="6">
        <f t="shared" si="128"/>
        <v>0.14404000000000003</v>
      </c>
      <c r="L65" s="23">
        <f t="shared" si="130"/>
        <v>-7.5828838562952088</v>
      </c>
      <c r="M65">
        <f t="shared" si="87"/>
        <v>5.3128771563833581</v>
      </c>
      <c r="N65" s="24">
        <f t="shared" si="88"/>
        <v>2.2972946999999997</v>
      </c>
      <c r="O65" s="23">
        <f t="shared" si="89"/>
        <v>-7.6020808613223156</v>
      </c>
      <c r="P65">
        <f t="shared" si="90"/>
        <v>5.3344800496615568</v>
      </c>
      <c r="Q65" s="24">
        <f t="shared" si="91"/>
        <v>2.3116986999999996</v>
      </c>
      <c r="R65" s="23">
        <f t="shared" si="0"/>
        <v>-7.6215870322474188</v>
      </c>
      <c r="S65">
        <f t="shared" si="1"/>
        <v>5.3558041978471387</v>
      </c>
      <c r="T65" s="24">
        <f t="shared" si="2"/>
        <v>2.3261026999999994</v>
      </c>
      <c r="U65" s="23">
        <f t="shared" si="3"/>
        <v>-7.6413983220934627</v>
      </c>
      <c r="V65">
        <f t="shared" si="4"/>
        <v>5.3768451767843466</v>
      </c>
      <c r="W65" s="24">
        <f t="shared" si="5"/>
        <v>2.3405066999999993</v>
      </c>
      <c r="X65" s="23">
        <f t="shared" si="6"/>
        <v>-7.6615106205798735</v>
      </c>
      <c r="Y65">
        <f t="shared" si="7"/>
        <v>5.3975986210670079</v>
      </c>
      <c r="Z65" s="24">
        <f t="shared" si="8"/>
        <v>2.3549106999999991</v>
      </c>
      <c r="AA65" s="23">
        <f t="shared" si="9"/>
        <v>-7.6819197549753238</v>
      </c>
      <c r="AB65">
        <f t="shared" si="10"/>
        <v>5.4180602249442318</v>
      </c>
      <c r="AC65" s="24">
        <f t="shared" si="11"/>
        <v>2.369314699999999</v>
      </c>
      <c r="AD65" s="23">
        <f t="shared" si="12"/>
        <v>-7.7026214909634572</v>
      </c>
      <c r="AE65">
        <f t="shared" si="13"/>
        <v>5.4382257432137333</v>
      </c>
      <c r="AF65" s="24">
        <f t="shared" si="14"/>
        <v>2.3837186999999989</v>
      </c>
      <c r="AG65" s="23">
        <f t="shared" si="15"/>
        <v>-7.723611533521388</v>
      </c>
      <c r="AH65">
        <f t="shared" si="16"/>
        <v>5.4580909921025906</v>
      </c>
      <c r="AI65" s="24">
        <f t="shared" si="17"/>
        <v>2.3981226999999987</v>
      </c>
      <c r="AJ65" s="23">
        <f t="shared" si="18"/>
        <v>-7.7448855278107969</v>
      </c>
      <c r="AK65">
        <f t="shared" si="19"/>
        <v>5.4776518501352589</v>
      </c>
      <c r="AL65" s="24">
        <f t="shared" si="20"/>
        <v>2.4125266999999986</v>
      </c>
      <c r="AM65" s="23">
        <f t="shared" si="21"/>
        <v>-7.7664390600814368</v>
      </c>
      <c r="AN65">
        <f t="shared" si="22"/>
        <v>5.4969042589886596</v>
      </c>
      <c r="AO65" s="24">
        <f t="shared" si="23"/>
        <v>2.4269306999999984</v>
      </c>
      <c r="AP65" s="23">
        <f t="shared" si="24"/>
        <v>-7.7882676585868591</v>
      </c>
      <c r="AQ65">
        <f t="shared" si="25"/>
        <v>5.5158442243341685</v>
      </c>
      <c r="AR65" s="24">
        <f t="shared" si="26"/>
        <v>2.4413346999999983</v>
      </c>
      <c r="AS65" s="23">
        <f t="shared" si="27"/>
        <v>-7.8103667945121762</v>
      </c>
      <c r="AT65">
        <f t="shared" si="28"/>
        <v>5.534467816666325</v>
      </c>
      <c r="AU65" s="24">
        <f t="shared" si="29"/>
        <v>2.4557386999999982</v>
      </c>
      <c r="AV65" s="23">
        <f t="shared" si="30"/>
        <v>-7.8327318829136612</v>
      </c>
      <c r="AW65">
        <f t="shared" si="31"/>
        <v>5.552771172118093</v>
      </c>
      <c r="AX65" s="24">
        <f t="shared" si="32"/>
        <v>2.470142699999998</v>
      </c>
      <c r="AY65" s="23">
        <f t="shared" si="33"/>
        <v>-7.855358283669994</v>
      </c>
      <c r="AZ65">
        <f t="shared" si="34"/>
        <v>5.5707504932625032</v>
      </c>
      <c r="BA65" s="24">
        <f t="shared" si="35"/>
        <v>2.4845466999999979</v>
      </c>
      <c r="BB65" s="23">
        <f t="shared" si="36"/>
        <v>-7.8782413024449545</v>
      </c>
      <c r="BC65">
        <f t="shared" si="37"/>
        <v>5.5884020499005116</v>
      </c>
      <c r="BD65" s="24">
        <f t="shared" si="38"/>
        <v>2.4989506999999977</v>
      </c>
      <c r="BE65" s="23">
        <f t="shared" si="39"/>
        <v>-7.9013761916613641</v>
      </c>
      <c r="BF65">
        <f t="shared" si="40"/>
        <v>5.6057221798349106</v>
      </c>
      <c r="BG65" s="24">
        <f t="shared" si="41"/>
        <v>2.5133546999999976</v>
      </c>
      <c r="BH65" s="23">
        <f t="shared" si="42"/>
        <v>-7.9247581514860732</v>
      </c>
      <c r="BI65">
        <f t="shared" si="43"/>
        <v>5.6227072896301307</v>
      </c>
      <c r="BJ65" s="24">
        <f t="shared" si="44"/>
        <v>2.5277586999999975</v>
      </c>
      <c r="BK65" s="23">
        <f t="shared" si="45"/>
        <v>-7.9483823308257913</v>
      </c>
      <c r="BL65">
        <f t="shared" si="46"/>
        <v>5.6393538553577764</v>
      </c>
      <c r="BM65" s="24">
        <f t="shared" si="47"/>
        <v>2.5421626999999973</v>
      </c>
      <c r="BN65" s="23">
        <f t="shared" si="48"/>
        <v>-7.9722438283335499</v>
      </c>
      <c r="BO65">
        <f t="shared" si="49"/>
        <v>5.6556584233277416</v>
      </c>
      <c r="BP65" s="24">
        <f t="shared" si="50"/>
        <v>2.5565666999999972</v>
      </c>
      <c r="BQ65" s="23">
        <f t="shared" si="51"/>
        <v>-7.9963376934255948</v>
      </c>
      <c r="BR65">
        <f t="shared" si="52"/>
        <v>5.6716176108047511</v>
      </c>
      <c r="BS65" s="24">
        <f t="shared" si="53"/>
        <v>2.5709706999999971</v>
      </c>
      <c r="BT65" s="23">
        <f t="shared" si="54"/>
        <v>-8.0206589273084887</v>
      </c>
      <c r="BU65">
        <f t="shared" si="55"/>
        <v>5.687228106710184</v>
      </c>
      <c r="BV65" s="24">
        <f t="shared" si="56"/>
        <v>2.5853746999999969</v>
      </c>
      <c r="BW65" s="23">
        <f t="shared" si="57"/>
        <v>-8.0452024840162242</v>
      </c>
      <c r="BX65">
        <f t="shared" si="58"/>
        <v>5.7024866723090275</v>
      </c>
      <c r="BY65" s="24">
        <f t="shared" si="59"/>
        <v>2.5997786999999968</v>
      </c>
      <c r="BZ65" s="23">
        <f t="shared" si="60"/>
        <v>-8.0699632714571106</v>
      </c>
      <c r="CA65">
        <f t="shared" si="61"/>
        <v>5.7173901418818227</v>
      </c>
      <c r="CB65" s="24">
        <f t="shared" si="62"/>
        <v>2.6141826999999966</v>
      </c>
      <c r="CC65" s="23">
        <f t="shared" si="63"/>
        <v>-8.0949361524702468</v>
      </c>
      <c r="CD65">
        <f t="shared" si="64"/>
        <v>5.7319354233814614</v>
      </c>
      <c r="CE65" s="24">
        <f t="shared" si="65"/>
        <v>2.6285866999999965</v>
      </c>
      <c r="CF65" s="23">
        <f t="shared" si="66"/>
        <v>-8.1201159458913317</v>
      </c>
      <c r="CG65">
        <f t="shared" si="67"/>
        <v>5.7461194990746991</v>
      </c>
      <c r="CH65" s="24">
        <f t="shared" si="68"/>
        <v>2.6429906999999964</v>
      </c>
      <c r="CI65" s="23">
        <f t="shared" si="69"/>
        <v>-8.1454974276276086</v>
      </c>
      <c r="CJ65">
        <f t="shared" si="70"/>
        <v>5.7599394261682475</v>
      </c>
      <c r="CK65" s="24">
        <f t="shared" si="71"/>
        <v>2.6573946999999962</v>
      </c>
      <c r="CL65" s="23">
        <f t="shared" si="72"/>
        <v>-8.1710753317417204</v>
      </c>
      <c r="CM65">
        <f t="shared" si="73"/>
        <v>5.7733923374193221</v>
      </c>
      <c r="CN65" s="24">
        <f t="shared" si="74"/>
        <v>2.6717986999999961</v>
      </c>
      <c r="CO65" s="23">
        <f t="shared" si="75"/>
        <v>-8.1968443515442377</v>
      </c>
      <c r="CP65">
        <f t="shared" si="76"/>
        <v>5.786475441730512</v>
      </c>
      <c r="CQ65" s="24">
        <f t="shared" si="77"/>
        <v>2.6862026999999959</v>
      </c>
      <c r="CR65" s="23">
        <f t="shared" si="78"/>
        <v>-8.2227991406946472</v>
      </c>
      <c r="CS65">
        <f t="shared" si="79"/>
        <v>5.799186024728856</v>
      </c>
      <c r="CT65" s="24">
        <f t="shared" si="80"/>
        <v>2.7006066999999958</v>
      </c>
      <c r="CU65" s="23">
        <f t="shared" si="81"/>
        <v>-8.2489343143105671</v>
      </c>
      <c r="CV65">
        <f t="shared" si="82"/>
        <v>5.8115214493289953</v>
      </c>
      <c r="CW65" s="24">
        <f t="shared" si="83"/>
        <v>2.7150106999999957</v>
      </c>
      <c r="CY65" s="8">
        <f t="shared" si="129"/>
        <v>1.3683567629337632</v>
      </c>
      <c r="CZ65" s="8">
        <f t="shared" si="92"/>
        <v>1.3818295573554142</v>
      </c>
      <c r="DA65" s="8">
        <f t="shared" si="93"/>
        <v>1.3954065288511837</v>
      </c>
      <c r="DB65" s="8">
        <f t="shared" si="94"/>
        <v>1.4090818901629678</v>
      </c>
      <c r="DC65" s="8">
        <f t="shared" si="95"/>
        <v>1.4228500081954993</v>
      </c>
      <c r="DD65" s="8">
        <f t="shared" si="96"/>
        <v>1.4367054010041367</v>
      </c>
      <c r="DE65" s="8">
        <f t="shared" si="97"/>
        <v>1.4506427346049831</v>
      </c>
      <c r="DF65" s="8">
        <f t="shared" si="98"/>
        <v>1.4646568196426071</v>
      </c>
      <c r="DG65" s="8">
        <f t="shared" si="99"/>
        <v>1.4787426079470678</v>
      </c>
      <c r="DH65" s="8">
        <f t="shared" si="100"/>
        <v>1.4928951890085866</v>
      </c>
      <c r="DI65" s="8">
        <f t="shared" si="101"/>
        <v>1.5071097863951048</v>
      </c>
      <c r="DJ65" s="8">
        <f t="shared" si="102"/>
        <v>1.5213817541350854</v>
      </c>
      <c r="DK65" s="8">
        <f t="shared" si="103"/>
        <v>1.5357065730852668</v>
      </c>
      <c r="DL65" s="8">
        <f t="shared" si="104"/>
        <v>1.5500798473006578</v>
      </c>
      <c r="DM65" s="8">
        <f t="shared" si="105"/>
        <v>1.5644973004218363</v>
      </c>
      <c r="DN65" s="8">
        <f t="shared" si="106"/>
        <v>1.5789547720926016</v>
      </c>
      <c r="DO65">
        <f t="shared" si="107"/>
        <v>1.5934482144191966</v>
      </c>
      <c r="DP65" s="8">
        <f t="shared" si="108"/>
        <v>1.6079736884806697</v>
      </c>
      <c r="DQ65">
        <f t="shared" si="109"/>
        <v>1.6225273608984496</v>
      </c>
      <c r="DR65" s="8">
        <f t="shared" si="110"/>
        <v>1.6371055004718775</v>
      </c>
      <c r="DS65">
        <f t="shared" si="111"/>
        <v>1.6517044748852454</v>
      </c>
      <c r="DT65" s="8">
        <f t="shared" si="112"/>
        <v>1.666320747490815</v>
      </c>
      <c r="DU65">
        <f t="shared" si="113"/>
        <v>1.680950874171363</v>
      </c>
      <c r="DV65" s="8">
        <f t="shared" si="114"/>
        <v>1.6955915002849409</v>
      </c>
      <c r="DW65">
        <f t="shared" si="115"/>
        <v>1.7102393576938206</v>
      </c>
      <c r="DX65" s="8">
        <f t="shared" si="116"/>
        <v>1.7248912618789238</v>
      </c>
      <c r="DY65">
        <f t="shared" si="117"/>
        <v>1.7395441091404955</v>
      </c>
      <c r="DZ65" s="8">
        <f t="shared" si="118"/>
        <v>1.7541948738852569</v>
      </c>
      <c r="EA65">
        <f t="shared" si="119"/>
        <v>1.7688406059998785</v>
      </c>
      <c r="EB65" s="8">
        <f t="shared" si="120"/>
        <v>1.7834784283102119</v>
      </c>
      <c r="EC65">
        <f t="shared" si="121"/>
        <v>1.3683567629337632</v>
      </c>
      <c r="ED65" s="8">
        <f t="shared" si="122"/>
        <v>1.7834784283102119</v>
      </c>
      <c r="EF65" s="23">
        <f t="shared" si="123"/>
        <v>0.178196338765372</v>
      </c>
      <c r="EG65" s="8">
        <f t="shared" si="84"/>
        <v>2.4630421732807739</v>
      </c>
      <c r="EH65">
        <f t="shared" si="124"/>
        <v>0.91649999999999998</v>
      </c>
      <c r="EI65" s="8">
        <f t="shared" si="125"/>
        <v>3.557738512046146</v>
      </c>
    </row>
    <row r="66" spans="7:139" ht="15" thickBot="1" x14ac:dyDescent="0.35">
      <c r="G66" s="11"/>
      <c r="H66" s="11"/>
      <c r="I66" s="31">
        <v>48</v>
      </c>
      <c r="J66" s="31">
        <f t="shared" si="85"/>
        <v>0.28899999999999998</v>
      </c>
      <c r="K66" s="31">
        <f t="shared" si="128"/>
        <v>0.19639990000000002</v>
      </c>
      <c r="L66" s="32">
        <f t="shared" si="130"/>
        <v>-7.5828838562952088</v>
      </c>
      <c r="M66" s="33">
        <f t="shared" si="87"/>
        <v>5.3128771563833581</v>
      </c>
      <c r="N66" s="34">
        <f t="shared" si="88"/>
        <v>2.3025306899999998</v>
      </c>
      <c r="O66" s="32">
        <f t="shared" si="89"/>
        <v>-7.6021937101906305</v>
      </c>
      <c r="P66" s="33">
        <f t="shared" si="90"/>
        <v>5.3343792386671156</v>
      </c>
      <c r="Q66" s="34">
        <f t="shared" si="91"/>
        <v>2.3221706799999997</v>
      </c>
      <c r="R66" s="32">
        <f t="shared" si="0"/>
        <v>-7.6219221135510491</v>
      </c>
      <c r="S66" s="33">
        <f t="shared" si="1"/>
        <v>5.3554979531367186</v>
      </c>
      <c r="T66" s="34">
        <f t="shared" si="2"/>
        <v>2.3418106699999997</v>
      </c>
      <c r="U66" s="32">
        <f t="shared" si="3"/>
        <v>-7.6420614567996843</v>
      </c>
      <c r="V66" s="33">
        <f t="shared" si="4"/>
        <v>5.3762251539490249</v>
      </c>
      <c r="W66" s="34">
        <f t="shared" si="5"/>
        <v>2.3614506599999996</v>
      </c>
      <c r="X66" s="32">
        <f t="shared" si="6"/>
        <v>-7.6626039718533345</v>
      </c>
      <c r="Y66" s="33">
        <f t="shared" si="7"/>
        <v>5.3965528462742878</v>
      </c>
      <c r="Z66" s="34">
        <f t="shared" si="8"/>
        <v>2.3810906499999995</v>
      </c>
      <c r="AA66" s="32">
        <f t="shared" si="9"/>
        <v>-7.6835417351186557</v>
      </c>
      <c r="AB66" s="33">
        <f t="shared" si="10"/>
        <v>5.4164731893799019</v>
      </c>
      <c r="AC66" s="34">
        <f t="shared" si="11"/>
        <v>2.4007306399999995</v>
      </c>
      <c r="AD66" s="32">
        <f t="shared" si="12"/>
        <v>-7.7048666705484248</v>
      </c>
      <c r="AE66" s="33">
        <f t="shared" si="13"/>
        <v>5.4359784996547003</v>
      </c>
      <c r="AF66" s="34">
        <f t="shared" si="14"/>
        <v>2.4203706299999994</v>
      </c>
      <c r="AG66" s="32">
        <f t="shared" si="15"/>
        <v>-7.7265705527566082</v>
      </c>
      <c r="AH66" s="33">
        <f t="shared" si="16"/>
        <v>5.4550612535726568</v>
      </c>
      <c r="AI66" s="34">
        <f t="shared" si="17"/>
        <v>2.4400106199999994</v>
      </c>
      <c r="AJ66" s="32">
        <f t="shared" si="18"/>
        <v>-7.74864501019103</v>
      </c>
      <c r="AK66" s="33">
        <f t="shared" si="19"/>
        <v>5.473714090594834</v>
      </c>
      <c r="AL66" s="34">
        <f t="shared" si="20"/>
        <v>2.4596506099999993</v>
      </c>
      <c r="AM66" s="32">
        <f t="shared" si="21"/>
        <v>-7.7710815283624202</v>
      </c>
      <c r="AN66" s="33">
        <f t="shared" si="22"/>
        <v>5.4919298160084669</v>
      </c>
      <c r="AO66" s="34">
        <f t="shared" si="23"/>
        <v>2.4792905999999992</v>
      </c>
      <c r="AP66" s="32">
        <f t="shared" si="24"/>
        <v>-7.7938714531285971</v>
      </c>
      <c r="AQ66" s="33">
        <f t="shared" si="25"/>
        <v>5.5097014037020857</v>
      </c>
      <c r="AR66" s="34">
        <f t="shared" si="26"/>
        <v>2.4989305899999992</v>
      </c>
      <c r="AS66" s="32">
        <f t="shared" si="27"/>
        <v>-7.8170059940325149</v>
      </c>
      <c r="AT66" s="33">
        <f t="shared" si="28"/>
        <v>5.5270219988756049</v>
      </c>
      <c r="AU66" s="34">
        <f t="shared" si="29"/>
        <v>2.5185705799999991</v>
      </c>
      <c r="AV66" s="32">
        <f t="shared" si="30"/>
        <v>-7.8404762276928928</v>
      </c>
      <c r="AW66" s="33">
        <f t="shared" si="31"/>
        <v>5.5438849206843335</v>
      </c>
      <c r="AX66" s="34">
        <f t="shared" si="32"/>
        <v>2.5382105699999991</v>
      </c>
      <c r="AY66" s="32">
        <f t="shared" si="33"/>
        <v>-7.8642731012461082</v>
      </c>
      <c r="AZ66" s="33">
        <f t="shared" si="34"/>
        <v>5.5602836648158895</v>
      </c>
      <c r="BA66" s="34">
        <f t="shared" si="35"/>
        <v>2.557850559999999</v>
      </c>
      <c r="BB66" s="32">
        <f t="shared" si="36"/>
        <v>-7.8883874358380446</v>
      </c>
      <c r="BC66" s="33">
        <f t="shared" si="37"/>
        <v>5.5762119059990249</v>
      </c>
      <c r="BD66" s="34">
        <f t="shared" si="38"/>
        <v>2.5774905499999989</v>
      </c>
      <c r="BE66" s="32">
        <f t="shared" si="39"/>
        <v>-7.9128099301645252</v>
      </c>
      <c r="BF66" s="33">
        <f t="shared" si="40"/>
        <v>5.5916635004433868</v>
      </c>
      <c r="BG66" s="34">
        <f t="shared" si="41"/>
        <v>2.5971305399999989</v>
      </c>
      <c r="BH66" s="32">
        <f t="shared" si="42"/>
        <v>-7.9375311640589841</v>
      </c>
      <c r="BI66" s="33">
        <f t="shared" si="43"/>
        <v>5.6066324882092804</v>
      </c>
      <c r="BJ66" s="34">
        <f t="shared" si="44"/>
        <v>2.6167705299999988</v>
      </c>
      <c r="BK66" s="32">
        <f t="shared" si="45"/>
        <v>-7.9625416021259827</v>
      </c>
      <c r="BL66" s="33">
        <f t="shared" si="46"/>
        <v>5.6211130955065185</v>
      </c>
      <c r="BM66" s="34">
        <f t="shared" si="47"/>
        <v>2.6364105199999988</v>
      </c>
      <c r="BN66" s="32">
        <f t="shared" si="48"/>
        <v>-7.9878315974191718</v>
      </c>
      <c r="BO66" s="33">
        <f t="shared" si="49"/>
        <v>5.6350997369214708</v>
      </c>
      <c r="BP66" s="34">
        <f t="shared" si="50"/>
        <v>2.6560505099999987</v>
      </c>
      <c r="BQ66" s="32">
        <f t="shared" si="51"/>
        <v>-8.0133913951622819</v>
      </c>
      <c r="BR66" s="33">
        <f t="shared" si="52"/>
        <v>5.6485870175714501</v>
      </c>
      <c r="BS66" s="34">
        <f t="shared" si="53"/>
        <v>2.6756904999999986</v>
      </c>
      <c r="BT66" s="32">
        <f t="shared" si="54"/>
        <v>-8.0392111365117032</v>
      </c>
      <c r="BU66" s="33">
        <f t="shared" si="55"/>
        <v>5.6615697351856094</v>
      </c>
      <c r="BV66" s="34">
        <f t="shared" si="56"/>
        <v>2.6953304899999986</v>
      </c>
      <c r="BW66" s="32">
        <f t="shared" si="57"/>
        <v>-8.0652808623592076</v>
      </c>
      <c r="BX66" s="33">
        <f t="shared" si="58"/>
        <v>5.6740428821115447</v>
      </c>
      <c r="BY66" s="34">
        <f t="shared" si="59"/>
        <v>2.7149704799999985</v>
      </c>
      <c r="BZ66" s="32">
        <f t="shared" si="60"/>
        <v>-8.0915905171733442</v>
      </c>
      <c r="CA66" s="33">
        <f t="shared" si="61"/>
        <v>5.686001647246834</v>
      </c>
      <c r="CB66" s="34">
        <f t="shared" si="62"/>
        <v>2.7346104699999985</v>
      </c>
      <c r="CC66" s="32">
        <f t="shared" si="63"/>
        <v>-8.1181299528780269</v>
      </c>
      <c r="CD66" s="33">
        <f t="shared" si="64"/>
        <v>5.6974414178947557</v>
      </c>
      <c r="CE66" s="34">
        <f t="shared" si="65"/>
        <v>2.7542504599999984</v>
      </c>
      <c r="CF66" s="32">
        <f t="shared" si="66"/>
        <v>-8.1448889327668166</v>
      </c>
      <c r="CG66" s="33">
        <f t="shared" si="67"/>
        <v>5.7083577815434863</v>
      </c>
      <c r="CH66" s="34">
        <f t="shared" si="68"/>
        <v>2.7738904499999983</v>
      </c>
      <c r="CI66" s="32">
        <f t="shared" si="69"/>
        <v>-8.1718571354513951</v>
      </c>
      <c r="CJ66" s="33">
        <f t="shared" si="70"/>
        <v>5.7187465275680793</v>
      </c>
      <c r="CK66" s="34">
        <f t="shared" si="71"/>
        <v>2.7935304399999983</v>
      </c>
      <c r="CL66" s="32">
        <f t="shared" si="72"/>
        <v>-8.1990241588426933</v>
      </c>
      <c r="CM66" s="33">
        <f t="shared" si="73"/>
        <v>5.7286036488545742</v>
      </c>
      <c r="CN66" s="34">
        <f t="shared" si="74"/>
        <v>2.8131704299999982</v>
      </c>
      <c r="CO66" s="32">
        <f t="shared" si="75"/>
        <v>-8.2263795241631534</v>
      </c>
      <c r="CP66" s="33">
        <f t="shared" si="76"/>
        <v>5.7379253433456077</v>
      </c>
      <c r="CQ66" s="34">
        <f t="shared" si="77"/>
        <v>2.8328104199999982</v>
      </c>
      <c r="CR66" s="32">
        <f t="shared" si="78"/>
        <v>-8.25391267998857</v>
      </c>
      <c r="CS66" s="33">
        <f t="shared" si="79"/>
        <v>5.7467080155069326</v>
      </c>
      <c r="CT66" s="34">
        <f t="shared" si="80"/>
        <v>2.8524504099999981</v>
      </c>
      <c r="CU66" s="32">
        <f t="shared" si="81"/>
        <v>-8.2816130063179525</v>
      </c>
      <c r="CV66" s="33">
        <f t="shared" si="82"/>
        <v>5.7549482777142718</v>
      </c>
      <c r="CW66" s="34">
        <f t="shared" si="83"/>
        <v>2.872090399999998</v>
      </c>
      <c r="CY66" s="13">
        <f t="shared" si="129"/>
        <v>1.3683567629337632</v>
      </c>
      <c r="CZ66" s="13">
        <f t="shared" si="92"/>
        <v>1.3816961610182352</v>
      </c>
      <c r="DA66" s="13">
        <f t="shared" si="93"/>
        <v>1.3950078802153505</v>
      </c>
      <c r="DB66" s="13">
        <f t="shared" si="94"/>
        <v>1.4082876435591392</v>
      </c>
      <c r="DC66" s="13">
        <f t="shared" si="95"/>
        <v>1.4215312960568853</v>
      </c>
      <c r="DD66" s="13">
        <f t="shared" si="96"/>
        <v>1.4347347999905968</v>
      </c>
      <c r="DE66" s="13">
        <f t="shared" si="97"/>
        <v>1.4478942304173257</v>
      </c>
      <c r="DF66" s="13">
        <f t="shared" si="98"/>
        <v>1.4610057708636786</v>
      </c>
      <c r="DG66" s="13">
        <f t="shared" si="99"/>
        <v>1.4740657092093405</v>
      </c>
      <c r="DH66" s="13">
        <f t="shared" si="100"/>
        <v>1.487070433754077</v>
      </c>
      <c r="DI66" s="13">
        <f t="shared" si="101"/>
        <v>1.5000164294623983</v>
      </c>
      <c r="DJ66" s="13">
        <f t="shared" si="102"/>
        <v>1.5129002743798887</v>
      </c>
      <c r="DK66" s="13">
        <f t="shared" si="103"/>
        <v>1.5257186362150832</v>
      </c>
      <c r="DL66" s="13">
        <f t="shared" si="104"/>
        <v>1.5384682690807241</v>
      </c>
      <c r="DM66" s="13">
        <f t="shared" si="105"/>
        <v>1.5511460103882302</v>
      </c>
      <c r="DN66" s="13">
        <f t="shared" si="106"/>
        <v>1.5637487778892389</v>
      </c>
      <c r="DO66" s="33">
        <f t="shared" si="107"/>
        <v>1.5762735668581738</v>
      </c>
      <c r="DP66" s="13">
        <f t="shared" si="108"/>
        <v>1.5887174474098806</v>
      </c>
      <c r="DQ66" s="33">
        <f t="shared" si="109"/>
        <v>1.6010775619465121</v>
      </c>
      <c r="DR66" s="13">
        <f t="shared" si="110"/>
        <v>1.6133511227279709</v>
      </c>
      <c r="DS66" s="33">
        <f t="shared" si="111"/>
        <v>1.6255354095603993</v>
      </c>
      <c r="DT66" s="13">
        <f t="shared" si="112"/>
        <v>1.6376277675973556</v>
      </c>
      <c r="DU66" s="33">
        <f t="shared" si="113"/>
        <v>1.6496256052485077</v>
      </c>
      <c r="DV66" s="13">
        <f t="shared" si="114"/>
        <v>1.6615263921908394</v>
      </c>
      <c r="DW66" s="33">
        <f t="shared" si="115"/>
        <v>1.6733276574775717</v>
      </c>
      <c r="DX66" s="13">
        <f t="shared" si="116"/>
        <v>1.6850269877401638</v>
      </c>
      <c r="DY66" s="33">
        <f t="shared" si="117"/>
        <v>1.6966220254789608</v>
      </c>
      <c r="DZ66" s="13">
        <f t="shared" si="118"/>
        <v>1.7081104674382273</v>
      </c>
      <c r="EA66" s="33">
        <f t="shared" si="119"/>
        <v>1.7194900630614951</v>
      </c>
      <c r="EB66" s="13">
        <f t="shared" si="120"/>
        <v>1.730758613023319</v>
      </c>
      <c r="EC66" s="33">
        <f t="shared" si="121"/>
        <v>1.3683567629337632</v>
      </c>
      <c r="ED66" s="13">
        <f t="shared" si="122"/>
        <v>1.730758613023319</v>
      </c>
      <c r="EF66" s="32">
        <f t="shared" si="123"/>
        <v>0.33718924900819758</v>
      </c>
      <c r="EG66" s="13">
        <f t="shared" si="84"/>
        <v>2.4630421732807739</v>
      </c>
      <c r="EH66" s="33">
        <f t="shared" si="124"/>
        <v>0.91649999999999998</v>
      </c>
      <c r="EI66" s="13">
        <f t="shared" si="125"/>
        <v>3.7167314222889716</v>
      </c>
    </row>
    <row r="67" spans="7:139" s="16" customFormat="1" x14ac:dyDescent="0.3">
      <c r="DB67"/>
    </row>
  </sheetData>
  <mergeCells count="16">
    <mergeCell ref="EL17:EL18"/>
    <mergeCell ref="EM17:EM18"/>
    <mergeCell ref="CY17:ED17"/>
    <mergeCell ref="EF17:EF18"/>
    <mergeCell ref="EG17:EG18"/>
    <mergeCell ref="EH17:EH18"/>
    <mergeCell ref="EI17:EI18"/>
    <mergeCell ref="EK17:EK18"/>
    <mergeCell ref="G17:H17"/>
    <mergeCell ref="I17:K17"/>
    <mergeCell ref="L17:CW17"/>
    <mergeCell ref="B1:G1"/>
    <mergeCell ref="B13:B14"/>
    <mergeCell ref="C13:C14"/>
    <mergeCell ref="B16:E16"/>
    <mergeCell ref="G16:CW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Dwi Saputra</dc:creator>
  <cp:lastModifiedBy>Wahyu Dwi Saputra</cp:lastModifiedBy>
  <dcterms:created xsi:type="dcterms:W3CDTF">2026-07-13T11:29:28Z</dcterms:created>
  <dcterms:modified xsi:type="dcterms:W3CDTF">2026-07-14T03:04:57Z</dcterms:modified>
</cp:coreProperties>
</file>